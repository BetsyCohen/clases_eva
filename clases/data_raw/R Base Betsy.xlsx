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psfcomar-my.sharepoint.com/personal/earias_provinciasf_com_ar/Documents/Escritorio/R base leasing/"/>
    </mc:Choice>
  </mc:AlternateContent>
  <xr:revisionPtr revIDLastSave="35" documentId="8_{5EC18BC4-AD57-4271-9C26-556554A96B9F}" xr6:coauthVersionLast="47" xr6:coauthVersionMax="47" xr10:uidLastSave="{4FC45EB9-3378-4AF2-BED0-CAF2F7DCD30E}"/>
  <bookViews>
    <workbookView xWindow="-108" yWindow="-108" windowWidth="23256" windowHeight="12456" xr2:uid="{F44BF327-8A79-4ACF-9688-8857E028382B}"/>
  </bookViews>
  <sheets>
    <sheet name="revisadoTablaseparaluminaria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8" i="1" l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C3" i="1"/>
  <c r="AC2" i="1"/>
</calcChain>
</file>

<file path=xl/sharedStrings.xml><?xml version="1.0" encoding="utf-8"?>
<sst xmlns="http://schemas.openxmlformats.org/spreadsheetml/2006/main" count="423" uniqueCount="121">
  <si>
    <t>Año Firma</t>
  </si>
  <si>
    <t>Sector</t>
  </si>
  <si>
    <t>Numero Contrato</t>
  </si>
  <si>
    <t>Cliente</t>
  </si>
  <si>
    <t>Estado</t>
  </si>
  <si>
    <t>Fecha Aprobación</t>
  </si>
  <si>
    <t>Fecha Firma</t>
  </si>
  <si>
    <t>Cantidad</t>
  </si>
  <si>
    <t>Bien Descripción</t>
  </si>
  <si>
    <t>Tipo de bien agrupado</t>
  </si>
  <si>
    <t>Tipo bien detalle</t>
  </si>
  <si>
    <t>Tipo de bien descripción</t>
  </si>
  <si>
    <t>Rubro Ala</t>
  </si>
  <si>
    <t>Ubicación</t>
  </si>
  <si>
    <t>Montos a OCT 24</t>
  </si>
  <si>
    <t>Montos en millones a OCT 24</t>
  </si>
  <si>
    <t>Suma de VALOR DE ORIGEN TOTAL $</t>
  </si>
  <si>
    <t>Suma de VALOR ACTUAL $ (A Vencer)</t>
  </si>
  <si>
    <t>Año y Mes Aprobación</t>
  </si>
  <si>
    <t>Sector Modificado</t>
  </si>
  <si>
    <t>Rubro Modificado 2</t>
  </si>
  <si>
    <t>Valores leasing 2023</t>
  </si>
  <si>
    <t>Período</t>
  </si>
  <si>
    <t>Tipo de Bien Descripción fórmula</t>
  </si>
  <si>
    <t>Partido politico</t>
  </si>
  <si>
    <t>Partido nombre original</t>
  </si>
  <si>
    <t xml:space="preserve">Período de gestión </t>
  </si>
  <si>
    <t>PBG valores 2023 constantes</t>
  </si>
  <si>
    <t>Impuestos</t>
  </si>
  <si>
    <t>Valor Agregado Bruto</t>
  </si>
  <si>
    <t>Total productores de bienes</t>
  </si>
  <si>
    <t>Total  productores de servicios</t>
  </si>
  <si>
    <t>Público</t>
  </si>
  <si>
    <t>0011550PLP000</t>
  </si>
  <si>
    <t>Activado</t>
  </si>
  <si>
    <t>11-ago-2020</t>
  </si>
  <si>
    <t>Tractor_CMZ Zanello_4150_DT LO 20 con Acc</t>
  </si>
  <si>
    <t>Tractor</t>
  </si>
  <si>
    <t>Maquinaria para la Construccion</t>
  </si>
  <si>
    <t>Obra pública</t>
  </si>
  <si>
    <t>Período 2020-2024</t>
  </si>
  <si>
    <t>Partido Justicialista</t>
  </si>
  <si>
    <t>Frente de Todos</t>
  </si>
  <si>
    <t>Período 2020-2023</t>
  </si>
  <si>
    <t>0011551PLP000</t>
  </si>
  <si>
    <t>Camión Compactador_Iveco_Attack_170e28 con Recolector Compactador Econovo Andres 17</t>
  </si>
  <si>
    <t>Camión Compactador</t>
  </si>
  <si>
    <t>Transporte y Logistica</t>
  </si>
  <si>
    <t>Servicios urbanos</t>
  </si>
  <si>
    <t>0011552PLP000</t>
  </si>
  <si>
    <t>Camión Volcador_Iveco_Attack_170e28 con Caja Volcadora Econovo Ecocvos 8</t>
  </si>
  <si>
    <t>Camión Volcador</t>
  </si>
  <si>
    <t>0011553PLP000</t>
  </si>
  <si>
    <t>Pick Up_Renault_Duster_Oroch 1.6 Dynamique</t>
  </si>
  <si>
    <t>Pick Up</t>
  </si>
  <si>
    <t>Rodados</t>
  </si>
  <si>
    <t>0011554PLP000</t>
  </si>
  <si>
    <t>Niveladora de Arrastre_Grosspal_NA_30 MAX Con Accesorio HIdraulico</t>
  </si>
  <si>
    <t>Niveladora de Arrastre</t>
  </si>
  <si>
    <t>0011555PLP000</t>
  </si>
  <si>
    <t>Contenedor_Econovo_Eco_CP 1100 Con Tapa</t>
  </si>
  <si>
    <t>Contenedor</t>
  </si>
  <si>
    <t>Otros</t>
  </si>
  <si>
    <t>No Vigente</t>
  </si>
  <si>
    <t>Período 2016-2019</t>
  </si>
  <si>
    <t>Juntos por el Cambio</t>
  </si>
  <si>
    <t>Obra Pública</t>
  </si>
  <si>
    <t>Período 2024-2027</t>
  </si>
  <si>
    <t>Luminaria</t>
  </si>
  <si>
    <t>0010804PLP000</t>
  </si>
  <si>
    <t>Excavadora_Komatsu_PC 200_LC - 8M0</t>
  </si>
  <si>
    <t>Excavadora</t>
  </si>
  <si>
    <t>Cambiemos</t>
  </si>
  <si>
    <t>0013014PLP000</t>
  </si>
  <si>
    <t>Pendiente de Entrega</t>
  </si>
  <si>
    <t>Retroexcavadora_John Deere_310 P_4x4 Cabinada</t>
  </si>
  <si>
    <t>Retroexcavadora</t>
  </si>
  <si>
    <t>Camión</t>
  </si>
  <si>
    <t>Furgón</t>
  </si>
  <si>
    <t>Minibus</t>
  </si>
  <si>
    <t>Tecnología</t>
  </si>
  <si>
    <t>Computadora</t>
  </si>
  <si>
    <t>Tecnología y Telecomunicaciones</t>
  </si>
  <si>
    <t>0010874PLP000</t>
  </si>
  <si>
    <t>Luminaria_Philco_Led_100-277V 240W</t>
  </si>
  <si>
    <t>0010875PLP000</t>
  </si>
  <si>
    <t>0010876PLP000</t>
  </si>
  <si>
    <t>0010877PLP000</t>
  </si>
  <si>
    <t>0010878PLP000</t>
  </si>
  <si>
    <t>0010879PLP000</t>
  </si>
  <si>
    <t>0010444PLP000</t>
  </si>
  <si>
    <t>Luminaria_Philco_Led_100-277V 120W y 15.000 Lumenes</t>
  </si>
  <si>
    <t>0010445PLP000</t>
  </si>
  <si>
    <t>Luminaria_Philco_Led_100-277V 240W y 30.500 Lumenes</t>
  </si>
  <si>
    <t>0010446PLP000</t>
  </si>
  <si>
    <t>0010447PLP000</t>
  </si>
  <si>
    <t>Luminaria_Philco_Led_100-277V 120W y 30.500 Lumenes</t>
  </si>
  <si>
    <t>0010448PLP001</t>
  </si>
  <si>
    <t>Computadora_Intel_I3 7100_Ver Anexo I</t>
  </si>
  <si>
    <t>0010449PLP001</t>
  </si>
  <si>
    <t>Monitor_Samsung_LED 18.5"_(S19d300)</t>
  </si>
  <si>
    <t>Monitor</t>
  </si>
  <si>
    <t>0010688PLP002</t>
  </si>
  <si>
    <t>Camión_Hino_716_con carroceria marca Chamula</t>
  </si>
  <si>
    <t>0010689PLP001</t>
  </si>
  <si>
    <t>Camión_Hino_816_con carroceria marca Chamula</t>
  </si>
  <si>
    <t>0010690PLP001</t>
  </si>
  <si>
    <t>Camión_Iveco_170 E 28_con tercer eje neumatico</t>
  </si>
  <si>
    <t>0010691PLP001</t>
  </si>
  <si>
    <t>Camión_Iveco_170 E 22_con caja volcadora Cormetal</t>
  </si>
  <si>
    <t>0010692PLP000</t>
  </si>
  <si>
    <t>Minibus_Iveco_Daily_19+1</t>
  </si>
  <si>
    <t>0010693PLP002</t>
  </si>
  <si>
    <t>Furgón_Citroen_Jumper_33M vidriada con dos Hileras de asientos</t>
  </si>
  <si>
    <t>0010694PLP001</t>
  </si>
  <si>
    <t>Furgón_Citroen_Jumper_33M</t>
  </si>
  <si>
    <t>MUNICIPALIDAD DE A</t>
  </si>
  <si>
    <t>MUNICIPALIDAD DE A A</t>
  </si>
  <si>
    <t>MUNICIPALIDAD DE AAB</t>
  </si>
  <si>
    <t>MUNICIPALIDAD DE AABC</t>
  </si>
  <si>
    <t>MUNICIPALIDAD DE AABCD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</si>
</sst>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&quot;$&quot;\ #,##0"/>
    <numFmt numFmtId="165" formatCode="_-&quot;$&quot;\ * #,##0_-;\-&quot;$&quot;\ * #,##0_-;_-&quot;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164" fontId="0" fillId="2" borderId="0" xfId="0" applyNumberFormat="1" applyFill="1"/>
    <xf numFmtId="165" fontId="0" fillId="0" borderId="0" xfId="1" applyNumberFormat="1" applyFont="1"/>
    <xf numFmtId="14" fontId="0" fillId="0" borderId="0" xfId="0" applyNumberFormat="1"/>
    <xf numFmtId="164" fontId="0" fillId="0" borderId="0" xfId="0" applyNumberFormat="1"/>
    <xf numFmtId="0" fontId="0" fillId="3" borderId="0" xfId="0" applyFill="1"/>
    <xf numFmtId="14" fontId="0" fillId="3" borderId="0" xfId="0" applyNumberFormat="1" applyFill="1"/>
    <xf numFmtId="165" fontId="0" fillId="3" borderId="0" xfId="1" applyNumberFormat="1" applyFont="1" applyFill="1"/>
    <xf numFmtId="0" fontId="0" fillId="4" borderId="0" xfId="0" applyFill="1"/>
    <xf numFmtId="164" fontId="0" fillId="4" borderId="0" xfId="0" applyNumberFormat="1" applyFill="1"/>
    <xf numFmtId="165" fontId="0" fillId="4" borderId="0" xfId="1" applyNumberFormat="1" applyFont="1" applyFill="1"/>
  </cellXfs>
  <cellStyles count="2">
    <cellStyle name="Moneda" xfId="1" builtinId="4"/>
    <cellStyle name="Normal" xfId="0" builtinId="0"/>
  </cellStyles>
  <dxfs count="24">
    <dxf>
      <numFmt numFmtId="164" formatCode="&quot;$&quot;\ #,##0"/>
      <fill>
        <patternFill>
          <fgColor indexed="64"/>
          <bgColor rgb="FF00B0F0"/>
        </patternFill>
      </fill>
    </dxf>
    <dxf>
      <numFmt numFmtId="165" formatCode="_-&quot;$&quot;\ * #,##0_-;\-&quot;$&quot;\ * #,##0_-;_-&quot;$&quot;\ * &quot;-&quot;??_-;_-@_-"/>
    </dxf>
    <dxf>
      <numFmt numFmtId="164" formatCode="&quot;$&quot;\ #,##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_-&quot;$&quot;\ * #,##0_-;\-&quot;$&quot;\ * #,##0_-;_-&quot;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164" formatCode="&quot;$&quot;\ #,##0"/>
    </dxf>
    <dxf>
      <numFmt numFmtId="164" formatCode="&quot;$&quot;\ 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psfcomar-my.sharepoint.com/personal/earias_provinciasf_com_ar/Documents/leasing/PBG/PowerBI%20PBG%20constantes%202023%2030-5-25.xlsx" TargetMode="External"/><Relationship Id="rId1" Type="http://schemas.openxmlformats.org/officeDocument/2006/relationships/externalLinkPath" Target="/personal/earias_provinciasf_com_ar/Documents/leasing/PBG/PowerBI%20PBG%20constantes%202023%2030-5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3Constantes"/>
    </sheetNames>
    <sheetDataSet>
      <sheetData sheetId="0">
        <row r="1">
          <cell r="F1" t="str">
            <v>Nombre Municipio</v>
          </cell>
          <cell r="H1" t="str">
            <v>Impuestos</v>
          </cell>
        </row>
        <row r="2">
          <cell r="F2" t="str">
            <v>Municipalidad de Adolfo Alsina</v>
          </cell>
          <cell r="H2">
            <v>60165079.781869709</v>
          </cell>
        </row>
        <row r="3">
          <cell r="F3" t="str">
            <v>Municipalidad de Adolfo Gonzales Chaves</v>
          </cell>
          <cell r="H3">
            <v>41780326.550033472</v>
          </cell>
        </row>
        <row r="4">
          <cell r="F4" t="str">
            <v>Municipalidad de Alberti</v>
          </cell>
          <cell r="H4">
            <v>30092136.280615706</v>
          </cell>
        </row>
        <row r="5">
          <cell r="F5" t="str">
            <v>Municipalidad de Almirante Brown</v>
          </cell>
          <cell r="H5">
            <v>1285924089.1688113</v>
          </cell>
        </row>
        <row r="6">
          <cell r="F6" t="str">
            <v>Municipalidad de Arrecifes</v>
          </cell>
          <cell r="H6">
            <v>93097290.042575568</v>
          </cell>
        </row>
        <row r="7">
          <cell r="F7" t="str">
            <v>Municipalidad de Avellaneda</v>
          </cell>
          <cell r="H7">
            <v>1128940336.3152161</v>
          </cell>
        </row>
        <row r="8">
          <cell r="F8" t="str">
            <v>Municipalidad de Ayacucho</v>
          </cell>
          <cell r="H8">
            <v>51864076.662229285</v>
          </cell>
        </row>
        <row r="9">
          <cell r="F9" t="str">
            <v>Municipalidad de Azul</v>
          </cell>
          <cell r="H9">
            <v>196454927.12366271</v>
          </cell>
        </row>
        <row r="10">
          <cell r="F10" t="str">
            <v>Municipalidad de Bahía Blanca</v>
          </cell>
          <cell r="H10">
            <v>945598508.11719513</v>
          </cell>
        </row>
        <row r="11">
          <cell r="F11" t="str">
            <v>Municipalidad de Balcarce</v>
          </cell>
          <cell r="H11">
            <v>145274754.93423212</v>
          </cell>
        </row>
        <row r="12">
          <cell r="F12" t="str">
            <v>Municipalidad de Baradero</v>
          </cell>
          <cell r="H12">
            <v>110397026.96974352</v>
          </cell>
        </row>
        <row r="13">
          <cell r="F13" t="str">
            <v>MUNICIPALIDAD DE BENITO JUAREZ</v>
          </cell>
          <cell r="H13">
            <v>93322388.773325056</v>
          </cell>
        </row>
        <row r="14">
          <cell r="F14" t="str">
            <v>Municipalidad de Berazategui</v>
          </cell>
          <cell r="H14">
            <v>787874760.75988674</v>
          </cell>
        </row>
        <row r="15">
          <cell r="F15" t="str">
            <v>Municipalidad de Berisso</v>
          </cell>
          <cell r="H15">
            <v>193380073.93942064</v>
          </cell>
        </row>
        <row r="16">
          <cell r="F16" t="str">
            <v>MUNICIPALIDAD DE BOLIVAR</v>
          </cell>
          <cell r="H16">
            <v>90785119.150370181</v>
          </cell>
        </row>
        <row r="17">
          <cell r="F17" t="str">
            <v>Municipalidad de Bragado</v>
          </cell>
          <cell r="H17">
            <v>120764988.36414802</v>
          </cell>
        </row>
        <row r="18">
          <cell r="F18" t="str">
            <v>Municipalidad de Brandsen</v>
          </cell>
          <cell r="H18">
            <v>98098282.323507488</v>
          </cell>
        </row>
        <row r="19">
          <cell r="F19" t="str">
            <v>Municipalidad de Campana</v>
          </cell>
          <cell r="H19">
            <v>1023230857.0947827</v>
          </cell>
        </row>
        <row r="20">
          <cell r="F20" t="str">
            <v>Municipalidad de Cañuelas</v>
          </cell>
          <cell r="H20">
            <v>171846242.28769761</v>
          </cell>
        </row>
        <row r="21">
          <cell r="F21" t="str">
            <v>MUNICIPALIDAD DE CAPITAN SARMIENTO</v>
          </cell>
          <cell r="H21">
            <v>55949280.465205207</v>
          </cell>
        </row>
        <row r="22">
          <cell r="F22" t="str">
            <v>Municipalidad de Carlos Casares</v>
          </cell>
          <cell r="H22">
            <v>58153968.859798029</v>
          </cell>
        </row>
        <row r="23">
          <cell r="F23" t="str">
            <v>Municipalidad de Carlos Tejedor</v>
          </cell>
          <cell r="H23">
            <v>34605117.031701513</v>
          </cell>
        </row>
        <row r="24">
          <cell r="F24" t="str">
            <v>Municipalidad de Carmen de Areco</v>
          </cell>
          <cell r="H24">
            <v>48177105.000622973</v>
          </cell>
        </row>
        <row r="25">
          <cell r="F25" t="str">
            <v>Municipalidad de Castelli</v>
          </cell>
          <cell r="H25">
            <v>23673843.49921038</v>
          </cell>
        </row>
        <row r="26">
          <cell r="F26" t="str">
            <v>Municipalidad de Chacabuco</v>
          </cell>
          <cell r="H26">
            <v>141157627.21519622</v>
          </cell>
        </row>
        <row r="27">
          <cell r="F27" t="str">
            <v>MUNICIPALIDAD DE CHASCOMUS</v>
          </cell>
          <cell r="H27">
            <v>99926172.069445074</v>
          </cell>
        </row>
        <row r="28">
          <cell r="F28" t="str">
            <v>Municipalidad de Chivilcoy</v>
          </cell>
          <cell r="H28">
            <v>176397676.3880778</v>
          </cell>
        </row>
        <row r="29">
          <cell r="F29" t="str">
            <v>MUNICIPALIDAD DE COLON</v>
          </cell>
          <cell r="H29">
            <v>72533809.939887032</v>
          </cell>
        </row>
        <row r="30">
          <cell r="F30" t="str">
            <v>Municipalidad de Coronel de Marina L. Rosales</v>
          </cell>
          <cell r="H30">
            <v>115934408.26217404</v>
          </cell>
        </row>
        <row r="31">
          <cell r="F31" t="str">
            <v>Municipalidad de Coronel Dorrego</v>
          </cell>
          <cell r="H31">
            <v>54063070.106642932</v>
          </cell>
        </row>
        <row r="32">
          <cell r="F32" t="str">
            <v>Municipalidad de Coronel Pringles</v>
          </cell>
          <cell r="H32">
            <v>65295240.637173951</v>
          </cell>
        </row>
        <row r="33">
          <cell r="F33" t="str">
            <v>MUNICIPALIDAD DE CORONEL SUAREZ</v>
          </cell>
          <cell r="H33">
            <v>124033499.36411731</v>
          </cell>
        </row>
        <row r="34">
          <cell r="F34" t="str">
            <v>Municipalidad de Daireaux</v>
          </cell>
          <cell r="H34">
            <v>52130431.863564983</v>
          </cell>
        </row>
        <row r="35">
          <cell r="F35" t="str">
            <v>Municipalidad de Dolores</v>
          </cell>
          <cell r="H35">
            <v>53145250.837671496</v>
          </cell>
        </row>
        <row r="36">
          <cell r="F36" t="str">
            <v>Municipalidad de Ensenada</v>
          </cell>
          <cell r="H36">
            <v>825912632.92223966</v>
          </cell>
        </row>
        <row r="37">
          <cell r="F37" t="str">
            <v>Municipalidad de Escobar</v>
          </cell>
          <cell r="H37">
            <v>693882446.26535916</v>
          </cell>
        </row>
        <row r="38">
          <cell r="F38" t="str">
            <v>Municipalidad de Esteban Echeverría</v>
          </cell>
          <cell r="H38">
            <v>735099481.64709306</v>
          </cell>
        </row>
        <row r="39">
          <cell r="F39" t="str">
            <v>MUNICIPALIDAD DE EXALTACION DE LA CRUZ</v>
          </cell>
          <cell r="H39">
            <v>107746429.85294855</v>
          </cell>
        </row>
        <row r="40">
          <cell r="F40" t="str">
            <v>Municipalidad de Ezeiza</v>
          </cell>
          <cell r="H40">
            <v>521898692.45213461</v>
          </cell>
        </row>
        <row r="41">
          <cell r="F41" t="str">
            <v>Municipalidad de Florencio Varela</v>
          </cell>
          <cell r="H41">
            <v>976913327.69279349</v>
          </cell>
        </row>
        <row r="42">
          <cell r="F42" t="str">
            <v>Municipalidad de Florentino Ameghino</v>
          </cell>
          <cell r="H42">
            <v>26937293.163463131</v>
          </cell>
        </row>
        <row r="43">
          <cell r="F43" t="str">
            <v>MUNICIPALIDAD DE GRAL. ALVARADO</v>
          </cell>
          <cell r="H43">
            <v>88557048.848102361</v>
          </cell>
        </row>
        <row r="44">
          <cell r="F44" t="str">
            <v>Municipalidad de General Alvear</v>
          </cell>
          <cell r="H44">
            <v>28713221.577312678</v>
          </cell>
        </row>
        <row r="45">
          <cell r="F45" t="str">
            <v>Municipalidad de General Arenales</v>
          </cell>
          <cell r="H45">
            <v>38527866.632253997</v>
          </cell>
        </row>
        <row r="46">
          <cell r="F46" t="str">
            <v>Municipalidad de General Belgrano</v>
          </cell>
          <cell r="H46">
            <v>42182544.174930014</v>
          </cell>
        </row>
        <row r="47">
          <cell r="F47" t="str">
            <v>MUNICIPALIDAD DE GRAL GUIDO</v>
          </cell>
          <cell r="H47">
            <v>8857622.5923519973</v>
          </cell>
        </row>
        <row r="48">
          <cell r="F48" t="str">
            <v>Municipalidad de General Juan Madariaga</v>
          </cell>
          <cell r="H48">
            <v>47949100.654512823</v>
          </cell>
        </row>
        <row r="49">
          <cell r="F49" t="str">
            <v>Municipalidad de General La Madrid</v>
          </cell>
          <cell r="H49">
            <v>33925502.892379023</v>
          </cell>
        </row>
        <row r="50">
          <cell r="F50" t="str">
            <v>Municipalidad de General Las Heras</v>
          </cell>
          <cell r="H50">
            <v>59490386.876586512</v>
          </cell>
        </row>
        <row r="51">
          <cell r="F51" t="str">
            <v>Municipalidad de General Lavalle</v>
          </cell>
          <cell r="H51">
            <v>11450333.676016573</v>
          </cell>
        </row>
        <row r="52">
          <cell r="F52" t="str">
            <v>Municipalidad de General Paz</v>
          </cell>
          <cell r="H52">
            <v>30362224.396342073</v>
          </cell>
        </row>
        <row r="53">
          <cell r="F53" t="str">
            <v>Municipalidad de General Pinto</v>
          </cell>
          <cell r="H53">
            <v>33274830.287882853</v>
          </cell>
        </row>
        <row r="54">
          <cell r="F54" t="str">
            <v>Municipalidad de General Pueyrredon</v>
          </cell>
          <cell r="H54">
            <v>1588795786.7810764</v>
          </cell>
        </row>
        <row r="55">
          <cell r="F55" t="str">
            <v>MUNICIPALIDAD DE GENERAL RODRIGUEZ</v>
          </cell>
          <cell r="H55">
            <v>349399784.81708527</v>
          </cell>
        </row>
        <row r="56">
          <cell r="F56" t="str">
            <v>MUNICIPALIDAD DE GRAL SAN MARTIN</v>
          </cell>
          <cell r="H56">
            <v>1222698012.5587401</v>
          </cell>
        </row>
        <row r="57">
          <cell r="F57" t="str">
            <v>Municipalidad de General Viamonte</v>
          </cell>
          <cell r="H57">
            <v>48112911.540750124</v>
          </cell>
        </row>
        <row r="58">
          <cell r="F58" t="str">
            <v>Municipalidad de General Villegas</v>
          </cell>
          <cell r="H58">
            <v>102868703.56057072</v>
          </cell>
        </row>
        <row r="59">
          <cell r="F59" t="str">
            <v>MUNICIPALIDAD DE GUAMINI</v>
          </cell>
          <cell r="H59">
            <v>46538363.822003156</v>
          </cell>
        </row>
        <row r="60">
          <cell r="F60" t="str">
            <v>MUNICIPALIDAD DE HIPOLITO YRIGOYEN</v>
          </cell>
          <cell r="H60">
            <v>30167750.255337909</v>
          </cell>
        </row>
        <row r="61">
          <cell r="F61" t="str">
            <v>Municipalidad de Hurlingham</v>
          </cell>
          <cell r="H61">
            <v>457695893.7110917</v>
          </cell>
        </row>
        <row r="62">
          <cell r="F62" t="str">
            <v>MUNICIPALIDAD DE ITUZAINGO</v>
          </cell>
          <cell r="H62">
            <v>415069011.10644686</v>
          </cell>
        </row>
        <row r="63">
          <cell r="F63" t="str">
            <v>MUNICIPALIDAD DE JOSE C PAZ</v>
          </cell>
          <cell r="H63">
            <v>728405027.93951714</v>
          </cell>
        </row>
        <row r="64">
          <cell r="F64" t="str">
            <v>Municipalidad de Junín</v>
          </cell>
          <cell r="H64">
            <v>231789976.8156949</v>
          </cell>
        </row>
        <row r="65">
          <cell r="F65" t="str">
            <v>Municipalidad de La Costa</v>
          </cell>
          <cell r="H65">
            <v>173274617.77979904</v>
          </cell>
        </row>
        <row r="66">
          <cell r="F66" t="str">
            <v>Municipalidad de La Matanza</v>
          </cell>
          <cell r="H66">
            <v>4022074491.5659056</v>
          </cell>
        </row>
        <row r="67">
          <cell r="F67" t="str">
            <v>Municipalidad de La Plata</v>
          </cell>
          <cell r="H67">
            <v>1454042098.6989412</v>
          </cell>
        </row>
        <row r="68">
          <cell r="F68" t="str">
            <v>MUNICIPALIDAD DE LANUS</v>
          </cell>
          <cell r="H68">
            <v>1155259610.881779</v>
          </cell>
        </row>
        <row r="69">
          <cell r="F69" t="str">
            <v>Municipalidad de Laprida</v>
          </cell>
          <cell r="H69">
            <v>28099329.560064629</v>
          </cell>
        </row>
        <row r="70">
          <cell r="F70" t="str">
            <v>Municipalidad de Las Flores</v>
          </cell>
          <cell r="H70">
            <v>65929494.268861182</v>
          </cell>
        </row>
        <row r="71">
          <cell r="F71" t="str">
            <v>Municipalidad de Leandro N. Alem</v>
          </cell>
          <cell r="H71">
            <v>41393553.088727906</v>
          </cell>
        </row>
        <row r="72">
          <cell r="F72" t="str">
            <v>Municipalidad de Lezama</v>
          </cell>
          <cell r="H72">
            <v>12360672.936183877</v>
          </cell>
        </row>
        <row r="73">
          <cell r="F73" t="str">
            <v>Municipalidad de Lincoln</v>
          </cell>
          <cell r="H73">
            <v>113810776.75210661</v>
          </cell>
        </row>
        <row r="74">
          <cell r="F74" t="str">
            <v>MUNICIPALIDAD DE LOBERIA</v>
          </cell>
          <cell r="H74">
            <v>60581338.965877771</v>
          </cell>
        </row>
        <row r="75">
          <cell r="F75" t="str">
            <v>Municipalidad de Lobos</v>
          </cell>
          <cell r="H75">
            <v>94991778.991756022</v>
          </cell>
        </row>
        <row r="76">
          <cell r="F76" t="str">
            <v>Municipalidad de Lomas de Zamora</v>
          </cell>
          <cell r="H76">
            <v>1597335525.6017311</v>
          </cell>
        </row>
        <row r="77">
          <cell r="F77" t="str">
            <v>Municipalidad de Lujan</v>
          </cell>
          <cell r="H77">
            <v>325419679.20301354</v>
          </cell>
        </row>
        <row r="78">
          <cell r="F78" t="str">
            <v>Municipalidad de Magdalena</v>
          </cell>
          <cell r="H78">
            <v>66127349.471311346</v>
          </cell>
        </row>
        <row r="79">
          <cell r="F79" t="str">
            <v>Municipalidad de Maipú</v>
          </cell>
          <cell r="H79">
            <v>23519095.277315751</v>
          </cell>
        </row>
        <row r="80">
          <cell r="F80" t="str">
            <v>Municipalidad de Malvinas Argentinas</v>
          </cell>
          <cell r="H80">
            <v>966369744.67089558</v>
          </cell>
        </row>
        <row r="81">
          <cell r="F81" t="str">
            <v>Municipalidad de Mar Chiquita</v>
          </cell>
          <cell r="H81">
            <v>69007564.710652411</v>
          </cell>
        </row>
        <row r="82">
          <cell r="F82" t="str">
            <v>Municipalidad de Marcos Paz</v>
          </cell>
          <cell r="H82">
            <v>153335525.25935003</v>
          </cell>
        </row>
        <row r="83">
          <cell r="F83" t="str">
            <v>MUNICIPALIDAD DE MERCEDES PROVINCIA DE BUENOS AIRES</v>
          </cell>
          <cell r="H83">
            <v>168750200.69445473</v>
          </cell>
        </row>
        <row r="84">
          <cell r="F84" t="str">
            <v>Municipalidad de Merlo</v>
          </cell>
          <cell r="H84">
            <v>1279961278.5399854</v>
          </cell>
        </row>
        <row r="85">
          <cell r="F85" t="str">
            <v>Municipalidad de Monte</v>
          </cell>
          <cell r="H85">
            <v>71677595.714128107</v>
          </cell>
        </row>
        <row r="86">
          <cell r="F86" t="str">
            <v>Municipalidad de Monte Hermoso</v>
          </cell>
          <cell r="H86">
            <v>17296138.150820695</v>
          </cell>
        </row>
        <row r="87">
          <cell r="F87" t="str">
            <v>Municipalidad de Moreno</v>
          </cell>
          <cell r="H87">
            <v>1165064213.4342799</v>
          </cell>
        </row>
        <row r="88">
          <cell r="F88" t="str">
            <v>MUNICIPALIDAD DE MORON</v>
          </cell>
          <cell r="H88">
            <v>802757116.80875313</v>
          </cell>
        </row>
        <row r="89">
          <cell r="F89" t="str">
            <v>Municipalidad de Navarro</v>
          </cell>
          <cell r="H89">
            <v>58819236.259350128</v>
          </cell>
        </row>
        <row r="90">
          <cell r="F90" t="str">
            <v>Municipalidad de Necochea</v>
          </cell>
          <cell r="H90">
            <v>222196454.51177308</v>
          </cell>
        </row>
        <row r="91">
          <cell r="F91" t="str">
            <v>Municipalidad de 9 de Julio</v>
          </cell>
          <cell r="H91">
            <v>130202826.82976758</v>
          </cell>
        </row>
        <row r="92">
          <cell r="F92" t="str">
            <v>Municipalidad de Olavarría</v>
          </cell>
          <cell r="H92">
            <v>439415580.05866718</v>
          </cell>
        </row>
        <row r="93">
          <cell r="F93" t="str">
            <v>Municipalidad de Patagones</v>
          </cell>
          <cell r="H93">
            <v>72037624.568468779</v>
          </cell>
        </row>
        <row r="94">
          <cell r="F94" t="str">
            <v>MUNICIPALIDAD DE PEHUAJO</v>
          </cell>
          <cell r="H94">
            <v>103836689.35752819</v>
          </cell>
        </row>
        <row r="95">
          <cell r="F95" t="str">
            <v>Municipalidad de Pellegrini</v>
          </cell>
          <cell r="H95">
            <v>23426302.582242239</v>
          </cell>
        </row>
        <row r="96">
          <cell r="F96" t="str">
            <v>Municipalidad de Pergamino</v>
          </cell>
          <cell r="H96">
            <v>302550223.12315899</v>
          </cell>
        </row>
        <row r="97">
          <cell r="F97" t="str">
            <v>Municipalidad de Pila</v>
          </cell>
          <cell r="H97">
            <v>11925899.017963812</v>
          </cell>
        </row>
        <row r="98">
          <cell r="F98" t="str">
            <v>Municipalidad de Pilar</v>
          </cell>
          <cell r="H98">
            <v>1076610751.0709176</v>
          </cell>
        </row>
        <row r="99">
          <cell r="F99" t="str">
            <v>Municipalidad de Pinamar</v>
          </cell>
          <cell r="H99">
            <v>76847229.842363551</v>
          </cell>
        </row>
        <row r="100">
          <cell r="F100" t="str">
            <v>Municipalidad de Presidente Perón</v>
          </cell>
          <cell r="H100">
            <v>188929403.80659953</v>
          </cell>
        </row>
        <row r="101">
          <cell r="F101" t="str">
            <v>Municipalidad de Puan</v>
          </cell>
          <cell r="H101">
            <v>45226323.822102234</v>
          </cell>
        </row>
        <row r="102">
          <cell r="F102" t="str">
            <v>Municipalidad de Punta Indio</v>
          </cell>
          <cell r="H102">
            <v>24073252.348511994</v>
          </cell>
        </row>
        <row r="103">
          <cell r="F103" t="str">
            <v>Municipalidad de Quilmes</v>
          </cell>
          <cell r="H103">
            <v>1448379238.6756227</v>
          </cell>
        </row>
        <row r="104">
          <cell r="F104" t="str">
            <v>Municipalidad de Ramallo</v>
          </cell>
          <cell r="H104">
            <v>124824867.20067161</v>
          </cell>
        </row>
        <row r="105">
          <cell r="F105" t="str">
            <v>Municipalidad de Rauch</v>
          </cell>
          <cell r="H105">
            <v>34884744.88842956</v>
          </cell>
        </row>
        <row r="106">
          <cell r="F106" t="str">
            <v>Municipalidad de Rivadavia</v>
          </cell>
          <cell r="H106">
            <v>56560363.8896797</v>
          </cell>
        </row>
        <row r="107">
          <cell r="F107" t="str">
            <v>Municipalidad de Rojas</v>
          </cell>
          <cell r="H107">
            <v>91813272.955348819</v>
          </cell>
        </row>
        <row r="108">
          <cell r="F108" t="str">
            <v>Municipalidad de Roque Perez</v>
          </cell>
          <cell r="H108">
            <v>43818177.965374991</v>
          </cell>
        </row>
        <row r="109">
          <cell r="F109" t="str">
            <v>Municipalidad de Saavedra</v>
          </cell>
          <cell r="H109">
            <v>58322504.653395101</v>
          </cell>
        </row>
        <row r="110">
          <cell r="F110" t="str">
            <v>Municipalidad de Saladillo</v>
          </cell>
          <cell r="H110">
            <v>90770197.331463009</v>
          </cell>
        </row>
        <row r="111">
          <cell r="F111" t="str">
            <v>Municipalidad de Salliquelo</v>
          </cell>
          <cell r="H111">
            <v>28531474.330075718</v>
          </cell>
        </row>
        <row r="112">
          <cell r="F112" t="str">
            <v>Municipalidad de Salto</v>
          </cell>
          <cell r="H112">
            <v>128059133.76962671</v>
          </cell>
        </row>
        <row r="113">
          <cell r="F113" t="str">
            <v>Municipalidad de San Andrés de Giles</v>
          </cell>
          <cell r="H113">
            <v>75747618.809668601</v>
          </cell>
        </row>
        <row r="114">
          <cell r="F114" t="str">
            <v>Municipalidad de San Antonio de Areco</v>
          </cell>
          <cell r="H114">
            <v>71560591.273695648</v>
          </cell>
        </row>
        <row r="115">
          <cell r="F115" t="str">
            <v>Municipalidad de San Cayetano</v>
          </cell>
          <cell r="H115">
            <v>34058422.906043068</v>
          </cell>
        </row>
        <row r="116">
          <cell r="F116" t="str">
            <v>Municipalidad de San Fernando</v>
          </cell>
          <cell r="H116">
            <v>441351412.77010512</v>
          </cell>
        </row>
        <row r="117">
          <cell r="F117" t="str">
            <v>Municipalidad de San Isidro</v>
          </cell>
          <cell r="H117">
            <v>812709025.54297805</v>
          </cell>
        </row>
        <row r="118">
          <cell r="F118" t="str">
            <v>Municipalidad de San Miguel</v>
          </cell>
          <cell r="H118">
            <v>729428648.85459042</v>
          </cell>
        </row>
        <row r="119">
          <cell r="F119" t="str">
            <v>Municipalidad de San Nicolás</v>
          </cell>
          <cell r="H119">
            <v>947583073.62177241</v>
          </cell>
        </row>
        <row r="120">
          <cell r="F120" t="str">
            <v>Municipalidad de San Pedro</v>
          </cell>
          <cell r="H120">
            <v>158366928.13756078</v>
          </cell>
        </row>
        <row r="121">
          <cell r="F121" t="str">
            <v>Municipalidad de San Vicente</v>
          </cell>
          <cell r="H121">
            <v>196984259.18536359</v>
          </cell>
        </row>
        <row r="122">
          <cell r="F122" t="str">
            <v>Municipalidad de Suipacha</v>
          </cell>
          <cell r="H122">
            <v>30348253.880263962</v>
          </cell>
        </row>
        <row r="123">
          <cell r="F123" t="str">
            <v>Municipalidad de Tandil</v>
          </cell>
          <cell r="H123">
            <v>329646090.08834183</v>
          </cell>
        </row>
        <row r="124">
          <cell r="F124" t="str">
            <v>Municipalidad de Tapalqué</v>
          </cell>
          <cell r="H124">
            <v>22280589.526788995</v>
          </cell>
        </row>
        <row r="125">
          <cell r="F125" t="str">
            <v>Municipalidad de Tigre</v>
          </cell>
          <cell r="H125">
            <v>1346454363.6883059</v>
          </cell>
        </row>
        <row r="126">
          <cell r="F126" t="str">
            <v>Municipalidad de Tordillo</v>
          </cell>
          <cell r="H126">
            <v>5289563.1894300189</v>
          </cell>
        </row>
        <row r="127">
          <cell r="F127" t="str">
            <v>Municipalidad de Tornquist</v>
          </cell>
          <cell r="H127">
            <v>39228444.225329377</v>
          </cell>
        </row>
        <row r="128">
          <cell r="F128" t="str">
            <v>Municipalidad de Trenque Lauquen</v>
          </cell>
          <cell r="H128">
            <v>131029210.57465135</v>
          </cell>
        </row>
        <row r="129">
          <cell r="F129" t="str">
            <v>Municipalidad de Tres Arroyos</v>
          </cell>
          <cell r="H129">
            <v>172072689.6287505</v>
          </cell>
        </row>
        <row r="130">
          <cell r="F130" t="str">
            <v>Municipalidad de Tres de Febrero</v>
          </cell>
          <cell r="H130">
            <v>1061016665.5892044</v>
          </cell>
        </row>
        <row r="131">
          <cell r="F131" t="str">
            <v>Municipalidad de Tres Lomas</v>
          </cell>
          <cell r="H131">
            <v>23053228.245397247</v>
          </cell>
        </row>
        <row r="132">
          <cell r="F132" t="str">
            <v>Municipalidad de 25 de Mayo</v>
          </cell>
          <cell r="H132">
            <v>87898180.045998365</v>
          </cell>
        </row>
        <row r="133">
          <cell r="F133" t="str">
            <v>Municipalidad de Vicente Lopez</v>
          </cell>
          <cell r="H133">
            <v>808786004.88921213</v>
          </cell>
        </row>
        <row r="134">
          <cell r="F134" t="str">
            <v>Municipalidad de Villa Gesell</v>
          </cell>
          <cell r="H134">
            <v>70099390.413014591</v>
          </cell>
        </row>
        <row r="135">
          <cell r="F135" t="str">
            <v>Municipalidad de Villarino</v>
          </cell>
          <cell r="H135">
            <v>72951243.310062215</v>
          </cell>
        </row>
        <row r="136">
          <cell r="F136" t="str">
            <v>Municipalidad de Zarate</v>
          </cell>
          <cell r="H136">
            <v>540258689.29382217</v>
          </cell>
        </row>
        <row r="137">
          <cell r="F137"/>
          <cell r="H137"/>
        </row>
        <row r="138">
          <cell r="F138"/>
          <cell r="H138">
            <v>44395993127.268982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B81304-A57A-428E-9CCD-A6697BD5DB3B}" name="tablaparaluminaria" displayName="tablaparaluminaria" ref="A1:AF28">
  <autoFilter ref="A1:AF28" xr:uid="{C35934FA-64D6-4C29-B948-74EF941524A4}"/>
  <sortState xmlns:xlrd2="http://schemas.microsoft.com/office/spreadsheetml/2017/richdata2" ref="A2:AF28">
    <sortCondition ref="D1:D28"/>
  </sortState>
  <tableColumns count="32">
    <tableColumn id="1" xr3:uid="{1AE6C393-1245-43F5-BBAF-F7383BD11CFA}" name="Año Firma" totalsRowLabel="Total"/>
    <tableColumn id="2" xr3:uid="{76BA1436-F347-4BEA-83D0-106099BC543F}" name="Sector" dataDxfId="23"/>
    <tableColumn id="3" xr3:uid="{43F296DE-7B80-48AF-B281-B7CE75BE11E1}" name="Numero Contrato" totalsRowFunction="count" dataDxfId="22"/>
    <tableColumn id="4" xr3:uid="{D0E98FA3-3048-4FC9-B6E4-2C7ABD8D1171}" name="Cliente" totalsRowFunction="count" dataDxfId="21"/>
    <tableColumn id="5" xr3:uid="{326FC538-0771-4F18-AE07-AF3C9EB422E6}" name="Estado" dataDxfId="20"/>
    <tableColumn id="6" xr3:uid="{228BEA18-8496-419D-B4D3-3BAD66F76348}" name="Fecha Aprobación" dataDxfId="19"/>
    <tableColumn id="7" xr3:uid="{1BA4FF66-994A-4628-93EE-D96B4FEC935A}" name="Fecha Firma" dataDxfId="18"/>
    <tableColumn id="8" xr3:uid="{A0CA659F-A5E9-4E45-87FE-EDA925133EA0}" name="Cantidad" totalsRowFunction="sum"/>
    <tableColumn id="9" xr3:uid="{1B410589-FED4-46B4-A5E2-535EF363010F}" name="Bien Descripción" dataDxfId="17"/>
    <tableColumn id="10" xr3:uid="{D91DCA90-D549-4612-9BC8-14E28413F518}" name="Tipo de bien agrupado" dataDxfId="16"/>
    <tableColumn id="11" xr3:uid="{E3B415EE-F4C1-4D0F-A216-6AEC4C060D5F}" name="Tipo bien detalle" dataDxfId="15"/>
    <tableColumn id="12" xr3:uid="{50437F14-D86A-41C1-A3D6-788839FC814B}" name="Tipo de bien descripción" dataDxfId="14"/>
    <tableColumn id="13" xr3:uid="{6743E565-92E8-43A7-8526-69F095615E21}" name="Rubro Ala" dataDxfId="13"/>
    <tableColumn id="14" xr3:uid="{8D997E8E-C677-459A-9AC9-2AE91B552FB1}" name="Ubicación" dataDxfId="12"/>
    <tableColumn id="15" xr3:uid="{CA08FF9D-FE88-45F0-8F51-635B639C0E52}" name="Montos a OCT 24" totalsRowFunction="average" dataDxfId="2" totalsRowDxfId="11"/>
    <tableColumn id="25" xr3:uid="{3CA9195D-4336-4328-B01F-42CA5F2D7FDE}" name="Montos en millones a OCT 24" dataDxfId="0" totalsRowDxfId="10"/>
    <tableColumn id="16" xr3:uid="{200886F5-8408-4165-9064-B6CACD0F388C}" name="Suma de VALOR DE ORIGEN TOTAL $" dataDxfId="1" dataCellStyle="Moneda"/>
    <tableColumn id="17" xr3:uid="{CBE5034C-4ABA-47FC-9D09-BF34DCE635E0}" name="Suma de VALOR ACTUAL $ (A Vencer)"/>
    <tableColumn id="18" xr3:uid="{3B3DC3C6-3536-4B98-9CFC-C598A06A96AB}" name="Año y Mes Aprobación" dataDxfId="9"/>
    <tableColumn id="19" xr3:uid="{13040B21-0A15-4E6A-B402-FABCD476A8EA}" name="Sector Modificado" dataDxfId="8"/>
    <tableColumn id="20" xr3:uid="{B07F5266-316D-433D-B21A-3EC1103B56D9}" name="Rubro Modificado 2" totalsRowFunction="count" dataDxfId="7"/>
    <tableColumn id="22" xr3:uid="{F9001D1B-E13C-4AAD-8543-6A29A82C9AA1}" name="Valores leasing 2023"/>
    <tableColumn id="23" xr3:uid="{6F71544C-8A94-4A04-875F-69616C3B4A9E}" name="Período"/>
    <tableColumn id="24" xr3:uid="{D8859EFA-01BC-4AF8-9D8A-DE80D50CD1F0}" name="Tipo de Bien Descripción fórmula" totalsRowFunction="count" dataDxfId="6"/>
    <tableColumn id="26" xr3:uid="{03AE872D-E0CF-49CA-BCEC-81564DEE16C9}" name="Partido politico"/>
    <tableColumn id="27" xr3:uid="{189FFA55-5642-410F-B0D9-5EC38BA85C9A}" name="Partido nombre original"/>
    <tableColumn id="29" xr3:uid="{96C70143-9F2B-484E-89DB-AD6677CC6D17}" name="Período de gestión "/>
    <tableColumn id="28" xr3:uid="{FA9BB52D-A401-4BEE-89DF-6E3167106FB8}" name="PBG valores 2023 constantes"/>
    <tableColumn id="30" xr3:uid="{8F4750B1-3385-47B9-AF71-A21751B412FA}" name="Impuestos" dataDxfId="5" dataCellStyle="Moneda">
      <calculatedColumnFormula>_xlfn.XLOOKUP(tablaparaluminaria[[#This Row],[Cliente]],'[1]2023Constantes'!$F:$F,'[1]2023Constantes'!$H:$H)</calculatedColumnFormula>
    </tableColumn>
    <tableColumn id="31" xr3:uid="{1ADBB7B2-E5E5-43F1-ACFB-BE7BF9CD0669}" name="Valor Agregado Bruto"/>
    <tableColumn id="32" xr3:uid="{FE9D7A0E-5DAE-4ACA-B878-A01C072FAA6B}" name="Total productores de bienes"/>
    <tableColumn id="33" xr3:uid="{035B9AEE-0E87-445E-B449-B1C062C46869}" name="Total  productores de servicio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1C3BC-58A5-45ED-AC10-A80B57D4C3F8}">
  <sheetPr>
    <tabColor theme="5" tint="-0.249977111117893"/>
  </sheetPr>
  <dimension ref="A1:AF28"/>
  <sheetViews>
    <sheetView tabSelected="1" topLeftCell="Y1" zoomScale="106" zoomScaleNormal="106" workbookViewId="0">
      <selection activeCell="AI11" sqref="AI11"/>
    </sheetView>
  </sheetViews>
  <sheetFormatPr baseColWidth="10" defaultColWidth="11.44140625" defaultRowHeight="14.4" x14ac:dyDescent="0.3"/>
  <cols>
    <col min="1" max="1" width="11.44140625" style="8"/>
    <col min="2" max="2" width="8.6640625" bestFit="1" customWidth="1"/>
    <col min="3" max="3" width="17.44140625" bestFit="1" customWidth="1"/>
    <col min="4" max="4" width="45.77734375" style="8" customWidth="1"/>
    <col min="5" max="5" width="19.44140625" customWidth="1"/>
    <col min="6" max="6" width="18.109375" customWidth="1"/>
    <col min="7" max="7" width="13.44140625" customWidth="1"/>
    <col min="8" max="8" width="10.88671875" customWidth="1"/>
    <col min="9" max="9" width="80.88671875" customWidth="1"/>
    <col min="10" max="10" width="37.109375" style="8" customWidth="1"/>
    <col min="11" max="12" width="37.109375" customWidth="1"/>
    <col min="13" max="13" width="28.109375" customWidth="1"/>
    <col min="14" max="14" width="20.33203125" customWidth="1"/>
    <col min="15" max="15" width="16.6640625" style="9" customWidth="1"/>
    <col min="16" max="16" width="16.6640625" style="4" customWidth="1"/>
    <col min="17" max="17" width="33" customWidth="1"/>
    <col min="18" max="18" width="33.6640625" customWidth="1"/>
    <col min="19" max="19" width="21.33203125" customWidth="1"/>
    <col min="20" max="20" width="18.44140625" customWidth="1"/>
    <col min="21" max="21" width="19.33203125" customWidth="1"/>
    <col min="22" max="22" width="20.109375" customWidth="1"/>
    <col min="23" max="23" width="16.33203125" style="8" customWidth="1"/>
    <col min="24" max="24" width="0.33203125" style="8" customWidth="1"/>
    <col min="25" max="25" width="24.6640625" style="8" customWidth="1"/>
    <col min="26" max="26" width="21.21875" customWidth="1"/>
    <col min="27" max="27" width="21.88671875" style="8" customWidth="1"/>
    <col min="28" max="28" width="23.33203125" style="8" customWidth="1"/>
    <col min="29" max="29" width="15.5546875" style="10" customWidth="1"/>
    <col min="30" max="30" width="28" style="8" customWidth="1"/>
    <col min="31" max="31" width="20" style="8" customWidth="1"/>
    <col min="32" max="32" width="23.88671875" style="8" customWidth="1"/>
  </cols>
  <sheetData>
    <row r="1" spans="1:32" x14ac:dyDescent="0.3">
      <c r="A1" s="8" t="s">
        <v>0</v>
      </c>
      <c r="B1" t="s">
        <v>1</v>
      </c>
      <c r="C1" t="s">
        <v>2</v>
      </c>
      <c r="D1" s="8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8" t="s">
        <v>9</v>
      </c>
      <c r="K1" t="s">
        <v>10</v>
      </c>
      <c r="L1" t="s">
        <v>11</v>
      </c>
      <c r="M1" t="s">
        <v>12</v>
      </c>
      <c r="N1" t="s">
        <v>13</v>
      </c>
      <c r="O1" s="9" t="s">
        <v>14</v>
      </c>
      <c r="P1" s="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8" t="s">
        <v>22</v>
      </c>
      <c r="X1" s="8" t="s">
        <v>23</v>
      </c>
      <c r="Y1" s="8" t="s">
        <v>24</v>
      </c>
      <c r="Z1" t="s">
        <v>25</v>
      </c>
      <c r="AA1" s="8" t="s">
        <v>26</v>
      </c>
      <c r="AB1" s="8" t="s">
        <v>27</v>
      </c>
      <c r="AC1" s="10" t="s">
        <v>28</v>
      </c>
      <c r="AD1" s="8" t="s">
        <v>29</v>
      </c>
      <c r="AE1" s="8" t="s">
        <v>30</v>
      </c>
      <c r="AF1" s="8" t="s">
        <v>31</v>
      </c>
    </row>
    <row r="2" spans="1:32" x14ac:dyDescent="0.3">
      <c r="A2" s="8">
        <v>2020</v>
      </c>
      <c r="B2" t="s">
        <v>32</v>
      </c>
      <c r="C2" t="s">
        <v>33</v>
      </c>
      <c r="D2" s="8" t="s">
        <v>116</v>
      </c>
      <c r="E2" t="s">
        <v>34</v>
      </c>
      <c r="F2" s="3">
        <v>44043</v>
      </c>
      <c r="G2" s="3" t="s">
        <v>35</v>
      </c>
      <c r="H2">
        <v>1</v>
      </c>
      <c r="I2" t="s">
        <v>36</v>
      </c>
      <c r="J2" s="8" t="s">
        <v>37</v>
      </c>
      <c r="K2" t="s">
        <v>37</v>
      </c>
      <c r="L2" t="s">
        <v>37</v>
      </c>
      <c r="M2" t="s">
        <v>38</v>
      </c>
      <c r="O2" s="9">
        <v>108986222.89476016</v>
      </c>
      <c r="P2" s="9">
        <v>108.98622289476016</v>
      </c>
      <c r="Q2" s="2">
        <v>5022624.43</v>
      </c>
      <c r="R2">
        <v>655640.05999999959</v>
      </c>
      <c r="S2" s="3">
        <v>44013</v>
      </c>
      <c r="T2" t="s">
        <v>32</v>
      </c>
      <c r="U2" t="s">
        <v>39</v>
      </c>
      <c r="V2">
        <v>30224762.217115071</v>
      </c>
      <c r="W2" s="8" t="s">
        <v>40</v>
      </c>
      <c r="Y2" s="8" t="s">
        <v>41</v>
      </c>
      <c r="Z2" s="5" t="s">
        <v>42</v>
      </c>
      <c r="AA2" s="8" t="s">
        <v>43</v>
      </c>
      <c r="AB2" s="10">
        <v>729617607.82180572</v>
      </c>
      <c r="AC2" s="10" t="e">
        <f>_xlfn.XLOOKUP(tablaparaluminaria[[#This Row],[Cliente]],'[1]2023Constantes'!$F:$F,'[1]2023Constantes'!$H:$H)</f>
        <v>#N/A</v>
      </c>
      <c r="AD2" s="10">
        <v>641719427.77580738</v>
      </c>
      <c r="AE2" s="10">
        <v>397627735.83983666</v>
      </c>
      <c r="AF2" s="10">
        <v>244091691.93597066</v>
      </c>
    </row>
    <row r="3" spans="1:32" x14ac:dyDescent="0.3">
      <c r="A3" s="8">
        <v>2020</v>
      </c>
      <c r="B3" t="s">
        <v>32</v>
      </c>
      <c r="C3" t="s">
        <v>44</v>
      </c>
      <c r="D3" s="8" t="s">
        <v>116</v>
      </c>
      <c r="E3" t="s">
        <v>34</v>
      </c>
      <c r="F3" s="3">
        <v>44043</v>
      </c>
      <c r="G3" s="3" t="s">
        <v>35</v>
      </c>
      <c r="H3">
        <v>1</v>
      </c>
      <c r="I3" t="s">
        <v>45</v>
      </c>
      <c r="J3" s="8" t="s">
        <v>46</v>
      </c>
      <c r="K3" t="s">
        <v>46</v>
      </c>
      <c r="L3" t="s">
        <v>46</v>
      </c>
      <c r="M3" t="s">
        <v>47</v>
      </c>
      <c r="O3" s="9">
        <v>134820674.66417569</v>
      </c>
      <c r="P3" s="9">
        <v>134.8206746641757</v>
      </c>
      <c r="Q3" s="2">
        <v>6213203.7999999998</v>
      </c>
      <c r="R3">
        <v>1115420.8799999999</v>
      </c>
      <c r="S3" s="3">
        <v>44013</v>
      </c>
      <c r="T3" t="s">
        <v>32</v>
      </c>
      <c r="U3" t="s">
        <v>48</v>
      </c>
      <c r="V3">
        <v>37389338.995724149</v>
      </c>
      <c r="W3" s="8" t="s">
        <v>40</v>
      </c>
      <c r="Y3" s="8" t="s">
        <v>41</v>
      </c>
      <c r="Z3" s="5" t="s">
        <v>42</v>
      </c>
      <c r="AA3" s="8" t="s">
        <v>43</v>
      </c>
      <c r="AB3" s="10">
        <v>729617607.82180572</v>
      </c>
      <c r="AC3" s="10" t="e">
        <f>_xlfn.XLOOKUP(tablaparaluminaria[[#This Row],[Cliente]],'[1]2023Constantes'!$F:$F,'[1]2023Constantes'!$H:$H)</f>
        <v>#N/A</v>
      </c>
      <c r="AD3" s="10">
        <v>641719427.77580738</v>
      </c>
      <c r="AE3" s="10">
        <v>397627735.83983666</v>
      </c>
      <c r="AF3" s="10">
        <v>244091691.93597066</v>
      </c>
    </row>
    <row r="4" spans="1:32" x14ac:dyDescent="0.3">
      <c r="A4" s="8">
        <v>2020</v>
      </c>
      <c r="B4" t="s">
        <v>32</v>
      </c>
      <c r="C4" t="s">
        <v>49</v>
      </c>
      <c r="D4" s="8" t="s">
        <v>116</v>
      </c>
      <c r="E4" t="s">
        <v>34</v>
      </c>
      <c r="F4" s="3">
        <v>44043</v>
      </c>
      <c r="G4" s="3" t="s">
        <v>35</v>
      </c>
      <c r="H4">
        <v>1</v>
      </c>
      <c r="I4" t="s">
        <v>50</v>
      </c>
      <c r="J4" s="8" t="s">
        <v>51</v>
      </c>
      <c r="K4" t="s">
        <v>51</v>
      </c>
      <c r="L4" t="s">
        <v>51</v>
      </c>
      <c r="M4" t="s">
        <v>47</v>
      </c>
      <c r="O4" s="9">
        <v>109854931.04387242</v>
      </c>
      <c r="P4" s="9">
        <v>109.85493104387241</v>
      </c>
      <c r="Q4" s="2">
        <v>5062658.8</v>
      </c>
      <c r="R4">
        <v>855674.54999999981</v>
      </c>
      <c r="S4" s="3">
        <v>44013</v>
      </c>
      <c r="T4" t="s">
        <v>32</v>
      </c>
      <c r="U4" t="s">
        <v>48</v>
      </c>
      <c r="V4">
        <v>30465677.963579115</v>
      </c>
      <c r="W4" s="8" t="s">
        <v>40</v>
      </c>
      <c r="Y4" s="8" t="s">
        <v>41</v>
      </c>
      <c r="Z4" s="5" t="s">
        <v>42</v>
      </c>
      <c r="AA4" s="8" t="s">
        <v>43</v>
      </c>
      <c r="AB4" s="10">
        <v>729617607.82180572</v>
      </c>
      <c r="AC4" s="10" t="e">
        <f>_xlfn.XLOOKUP(tablaparaluminaria[[#This Row],[Cliente]],'[1]2023Constantes'!$F:$F,'[1]2023Constantes'!$H:$H)</f>
        <v>#N/A</v>
      </c>
      <c r="AD4" s="10">
        <v>641719427.77580738</v>
      </c>
      <c r="AE4" s="10">
        <v>397627735.83983666</v>
      </c>
      <c r="AF4" s="10">
        <v>244091691.93597066</v>
      </c>
    </row>
    <row r="5" spans="1:32" x14ac:dyDescent="0.3">
      <c r="A5" s="8">
        <v>2020</v>
      </c>
      <c r="B5" t="s">
        <v>32</v>
      </c>
      <c r="C5" t="s">
        <v>52</v>
      </c>
      <c r="D5" s="8" t="s">
        <v>116</v>
      </c>
      <c r="E5" t="s">
        <v>34</v>
      </c>
      <c r="F5" s="3">
        <v>44043</v>
      </c>
      <c r="G5" s="3" t="s">
        <v>35</v>
      </c>
      <c r="H5">
        <v>1</v>
      </c>
      <c r="I5" t="s">
        <v>53</v>
      </c>
      <c r="J5" s="8" t="s">
        <v>54</v>
      </c>
      <c r="K5" t="s">
        <v>54</v>
      </c>
      <c r="L5" t="s">
        <v>54</v>
      </c>
      <c r="M5" t="s">
        <v>47</v>
      </c>
      <c r="O5" s="9">
        <v>27966061.198661912</v>
      </c>
      <c r="P5" s="9">
        <v>27.966061198661912</v>
      </c>
      <c r="Q5" s="2">
        <v>1288814.48</v>
      </c>
      <c r="R5">
        <v>168238.43999999994</v>
      </c>
      <c r="S5" s="3">
        <v>44013</v>
      </c>
      <c r="T5" t="s">
        <v>32</v>
      </c>
      <c r="U5" t="s">
        <v>55</v>
      </c>
      <c r="V5">
        <v>7755728.4528986383</v>
      </c>
      <c r="W5" s="8" t="s">
        <v>40</v>
      </c>
      <c r="Y5" s="8" t="s">
        <v>41</v>
      </c>
      <c r="Z5" s="5" t="s">
        <v>42</v>
      </c>
      <c r="AA5" s="8" t="s">
        <v>43</v>
      </c>
      <c r="AB5" s="10">
        <v>729617607.82180572</v>
      </c>
      <c r="AC5" s="10" t="e">
        <f>_xlfn.XLOOKUP(tablaparaluminaria[[#This Row],[Cliente]],'[1]2023Constantes'!$F:$F,'[1]2023Constantes'!$H:$H)</f>
        <v>#N/A</v>
      </c>
      <c r="AD5" s="10">
        <v>641719427.77580738</v>
      </c>
      <c r="AE5" s="10">
        <v>397627735.83983666</v>
      </c>
      <c r="AF5" s="10">
        <v>244091691.93597066</v>
      </c>
    </row>
    <row r="6" spans="1:32" x14ac:dyDescent="0.3">
      <c r="A6" s="8">
        <v>2020</v>
      </c>
      <c r="B6" t="s">
        <v>32</v>
      </c>
      <c r="C6" t="s">
        <v>56</v>
      </c>
      <c r="D6" s="8" t="s">
        <v>116</v>
      </c>
      <c r="E6" t="s">
        <v>34</v>
      </c>
      <c r="F6" s="3">
        <v>44043</v>
      </c>
      <c r="G6" s="3" t="s">
        <v>35</v>
      </c>
      <c r="H6">
        <v>1</v>
      </c>
      <c r="I6" t="s">
        <v>57</v>
      </c>
      <c r="J6" s="8" t="s">
        <v>58</v>
      </c>
      <c r="K6" t="s">
        <v>58</v>
      </c>
      <c r="L6" t="s">
        <v>58</v>
      </c>
      <c r="M6" t="s">
        <v>38</v>
      </c>
      <c r="O6" s="9">
        <v>18956337.053042594</v>
      </c>
      <c r="P6" s="9">
        <v>18.956337053042596</v>
      </c>
      <c r="Q6" s="2">
        <v>873601.81</v>
      </c>
      <c r="R6">
        <v>147653.35000000009</v>
      </c>
      <c r="S6" s="3">
        <v>44013</v>
      </c>
      <c r="T6" t="s">
        <v>32</v>
      </c>
      <c r="U6" t="s">
        <v>39</v>
      </c>
      <c r="V6">
        <v>5257093.6464965465</v>
      </c>
      <c r="W6" s="8" t="s">
        <v>40</v>
      </c>
      <c r="Y6" s="8" t="s">
        <v>41</v>
      </c>
      <c r="Z6" s="5" t="s">
        <v>42</v>
      </c>
      <c r="AA6" s="8" t="s">
        <v>43</v>
      </c>
      <c r="AB6" s="10">
        <v>729617607.82180572</v>
      </c>
      <c r="AC6" s="10" t="e">
        <f>_xlfn.XLOOKUP(tablaparaluminaria[[#This Row],[Cliente]],'[1]2023Constantes'!$F:$F,'[1]2023Constantes'!$H:$H)</f>
        <v>#N/A</v>
      </c>
      <c r="AD6" s="10">
        <v>641719427.77580738</v>
      </c>
      <c r="AE6" s="10">
        <v>397627735.83983666</v>
      </c>
      <c r="AF6" s="10">
        <v>244091691.93597066</v>
      </c>
    </row>
    <row r="7" spans="1:32" x14ac:dyDescent="0.3">
      <c r="A7" s="8">
        <v>2020</v>
      </c>
      <c r="B7" t="s">
        <v>32</v>
      </c>
      <c r="C7" t="s">
        <v>59</v>
      </c>
      <c r="D7" s="8" t="s">
        <v>116</v>
      </c>
      <c r="E7" t="s">
        <v>34</v>
      </c>
      <c r="F7" s="3">
        <v>44043</v>
      </c>
      <c r="G7" s="3" t="s">
        <v>35</v>
      </c>
      <c r="H7">
        <v>15</v>
      </c>
      <c r="I7" t="s">
        <v>60</v>
      </c>
      <c r="J7" s="8" t="s">
        <v>61</v>
      </c>
      <c r="K7" t="s">
        <v>61</v>
      </c>
      <c r="L7" t="s">
        <v>61</v>
      </c>
      <c r="M7" t="s">
        <v>62</v>
      </c>
      <c r="O7" s="9">
        <v>9092448.1184982564</v>
      </c>
      <c r="P7" s="9">
        <v>9.0924481184982557</v>
      </c>
      <c r="Q7" s="2">
        <v>419025</v>
      </c>
      <c r="R7">
        <v>54698.429999999993</v>
      </c>
      <c r="S7" s="3">
        <v>44013</v>
      </c>
      <c r="T7" t="s">
        <v>32</v>
      </c>
      <c r="U7" t="s">
        <v>48</v>
      </c>
      <c r="V7">
        <v>2521576.3520719069</v>
      </c>
      <c r="W7" s="8" t="s">
        <v>40</v>
      </c>
      <c r="Y7" s="8" t="s">
        <v>41</v>
      </c>
      <c r="Z7" s="5" t="s">
        <v>42</v>
      </c>
      <c r="AA7" s="8" t="s">
        <v>43</v>
      </c>
      <c r="AB7" s="10">
        <v>729617607.82180572</v>
      </c>
      <c r="AC7" s="10" t="e">
        <f>_xlfn.XLOOKUP(tablaparaluminaria[[#This Row],[Cliente]],'[1]2023Constantes'!$F:$F,'[1]2023Constantes'!$H:$H)</f>
        <v>#N/A</v>
      </c>
      <c r="AD7" s="10">
        <v>641719427.77580738</v>
      </c>
      <c r="AE7" s="10">
        <v>397627735.83983666</v>
      </c>
      <c r="AF7" s="10">
        <v>244091691.93597066</v>
      </c>
    </row>
    <row r="8" spans="1:32" x14ac:dyDescent="0.3">
      <c r="A8" s="8">
        <v>2017</v>
      </c>
      <c r="B8" t="s">
        <v>32</v>
      </c>
      <c r="C8" t="s">
        <v>69</v>
      </c>
      <c r="D8" s="8" t="s">
        <v>117</v>
      </c>
      <c r="E8" t="s">
        <v>63</v>
      </c>
      <c r="F8" s="3">
        <v>43032</v>
      </c>
      <c r="G8" s="3">
        <v>43034</v>
      </c>
      <c r="H8">
        <v>1</v>
      </c>
      <c r="I8" t="s">
        <v>70</v>
      </c>
      <c r="J8" s="8" t="s">
        <v>71</v>
      </c>
      <c r="L8" t="s">
        <v>71</v>
      </c>
      <c r="M8" t="s">
        <v>38</v>
      </c>
      <c r="O8" s="9">
        <v>216931633.5100643</v>
      </c>
      <c r="P8" s="9">
        <v>216.9316335100643</v>
      </c>
      <c r="Q8" s="2">
        <v>3540000</v>
      </c>
      <c r="R8">
        <v>0</v>
      </c>
      <c r="S8" s="3"/>
      <c r="U8" t="s">
        <v>66</v>
      </c>
      <c r="W8" s="8" t="s">
        <v>64</v>
      </c>
      <c r="X8" s="8" t="s">
        <v>71</v>
      </c>
      <c r="Y8" s="8" t="s">
        <v>65</v>
      </c>
      <c r="Z8" t="s">
        <v>72</v>
      </c>
      <c r="AA8" s="8" t="s">
        <v>64</v>
      </c>
      <c r="AB8" s="10">
        <v>575150707.43595672</v>
      </c>
      <c r="AC8" s="10" t="e">
        <f>_xlfn.XLOOKUP(tablaparaluminaria[[#This Row],[Cliente]],'[1]2023Constantes'!$F:$F,'[1]2023Constantes'!$H:$H)</f>
        <v>#N/A</v>
      </c>
      <c r="AD8" s="10">
        <v>482053417.39338112</v>
      </c>
      <c r="AE8" s="10">
        <v>268029369.64083278</v>
      </c>
      <c r="AF8" s="10">
        <v>214024047.75254831</v>
      </c>
    </row>
    <row r="9" spans="1:32" x14ac:dyDescent="0.3">
      <c r="A9" s="8">
        <v>2024</v>
      </c>
      <c r="B9" t="s">
        <v>32</v>
      </c>
      <c r="C9" t="s">
        <v>73</v>
      </c>
      <c r="D9" s="8" t="s">
        <v>118</v>
      </c>
      <c r="E9" t="s">
        <v>74</v>
      </c>
      <c r="F9" s="3">
        <v>45533</v>
      </c>
      <c r="G9" s="3">
        <v>45552</v>
      </c>
      <c r="H9">
        <v>1</v>
      </c>
      <c r="I9" t="s">
        <v>75</v>
      </c>
      <c r="J9" s="8" t="s">
        <v>76</v>
      </c>
      <c r="K9" t="s">
        <v>76</v>
      </c>
      <c r="L9" t="s">
        <v>76</v>
      </c>
      <c r="M9" t="s">
        <v>38</v>
      </c>
      <c r="O9" s="9">
        <v>145133001.07292905</v>
      </c>
      <c r="P9" s="9">
        <v>145.13300107292906</v>
      </c>
      <c r="Q9" s="2">
        <v>141328800</v>
      </c>
      <c r="S9" s="3">
        <v>45505</v>
      </c>
      <c r="T9" t="s">
        <v>32</v>
      </c>
      <c r="U9" t="s">
        <v>39</v>
      </c>
      <c r="V9">
        <v>40550706.842548735</v>
      </c>
      <c r="W9" s="8" t="s">
        <v>40</v>
      </c>
      <c r="Y9" s="8" t="s">
        <v>65</v>
      </c>
      <c r="Z9" t="s">
        <v>65</v>
      </c>
      <c r="AA9" s="8" t="s">
        <v>67</v>
      </c>
      <c r="AB9" s="10">
        <v>575150707.43595672</v>
      </c>
      <c r="AC9" s="10" t="e">
        <f>_xlfn.XLOOKUP(tablaparaluminaria[[#This Row],[Cliente]],'[1]2023Constantes'!$F:$F,'[1]2023Constantes'!$H:$H)</f>
        <v>#N/A</v>
      </c>
      <c r="AD9" s="10">
        <v>482053417.39338112</v>
      </c>
      <c r="AE9" s="10">
        <v>268029369.64083278</v>
      </c>
      <c r="AF9" s="10">
        <v>214024047.75254831</v>
      </c>
    </row>
    <row r="10" spans="1:32" x14ac:dyDescent="0.3">
      <c r="A10" s="8">
        <v>2017</v>
      </c>
      <c r="B10" s="5" t="s">
        <v>32</v>
      </c>
      <c r="C10" s="5" t="s">
        <v>83</v>
      </c>
      <c r="D10" s="8" t="s">
        <v>119</v>
      </c>
      <c r="E10" s="5" t="s">
        <v>63</v>
      </c>
      <c r="F10" s="6">
        <v>43082</v>
      </c>
      <c r="G10" s="6">
        <v>43087</v>
      </c>
      <c r="H10" s="5">
        <v>1000</v>
      </c>
      <c r="I10" s="5" t="s">
        <v>84</v>
      </c>
      <c r="J10" s="8" t="s">
        <v>68</v>
      </c>
      <c r="K10" s="5"/>
      <c r="L10" s="5" t="s">
        <v>68</v>
      </c>
      <c r="M10" s="5" t="s">
        <v>62</v>
      </c>
      <c r="N10" s="5"/>
      <c r="O10" s="9">
        <v>588205066.80660224</v>
      </c>
      <c r="P10" s="9">
        <v>588.20506680660219</v>
      </c>
      <c r="Q10" s="7">
        <v>10036350</v>
      </c>
      <c r="R10" s="5">
        <v>0</v>
      </c>
      <c r="S10" s="6"/>
      <c r="T10" s="5"/>
      <c r="U10" s="5" t="s">
        <v>68</v>
      </c>
      <c r="V10" s="5"/>
      <c r="W10" s="8" t="s">
        <v>64</v>
      </c>
      <c r="X10" s="8" t="s">
        <v>68</v>
      </c>
      <c r="Y10" s="8" t="s">
        <v>41</v>
      </c>
      <c r="Z10" s="5" t="s">
        <v>41</v>
      </c>
      <c r="AA10" s="8" t="s">
        <v>64</v>
      </c>
      <c r="AB10" s="10">
        <v>8465552492.689559</v>
      </c>
      <c r="AC10" s="10" t="e">
        <f>_xlfn.XLOOKUP(tablaparaluminaria[[#This Row],[Cliente]],'[1]2023Constantes'!$F:$F,'[1]2023Constantes'!$H:$H)</f>
        <v>#N/A</v>
      </c>
      <c r="AD10" s="10">
        <v>6868216967.0878277</v>
      </c>
      <c r="AE10" s="10">
        <v>2304996840.8618765</v>
      </c>
      <c r="AF10" s="10">
        <v>4563220126.2259512</v>
      </c>
    </row>
    <row r="11" spans="1:32" x14ac:dyDescent="0.3">
      <c r="A11" s="8">
        <v>2017</v>
      </c>
      <c r="B11" s="5" t="s">
        <v>32</v>
      </c>
      <c r="C11" s="5" t="s">
        <v>85</v>
      </c>
      <c r="D11" s="8" t="s">
        <v>119</v>
      </c>
      <c r="E11" s="5" t="s">
        <v>63</v>
      </c>
      <c r="F11" s="6">
        <v>43082</v>
      </c>
      <c r="G11" s="6">
        <v>43087</v>
      </c>
      <c r="H11" s="5">
        <v>1000</v>
      </c>
      <c r="I11" s="5" t="s">
        <v>84</v>
      </c>
      <c r="J11" s="8" t="s">
        <v>68</v>
      </c>
      <c r="K11" s="5"/>
      <c r="L11" s="5" t="s">
        <v>68</v>
      </c>
      <c r="M11" s="5" t="s">
        <v>62</v>
      </c>
      <c r="N11" s="5"/>
      <c r="O11" s="9">
        <v>588205066.80660224</v>
      </c>
      <c r="P11" s="9">
        <v>588.20506680660219</v>
      </c>
      <c r="Q11" s="7">
        <v>10036350</v>
      </c>
      <c r="R11" s="5">
        <v>0</v>
      </c>
      <c r="S11" s="6"/>
      <c r="T11" s="5"/>
      <c r="U11" s="5" t="s">
        <v>68</v>
      </c>
      <c r="V11" s="5"/>
      <c r="W11" s="8" t="s">
        <v>64</v>
      </c>
      <c r="X11" s="8" t="s">
        <v>68</v>
      </c>
      <c r="Y11" s="8" t="s">
        <v>41</v>
      </c>
      <c r="Z11" s="5" t="s">
        <v>41</v>
      </c>
      <c r="AA11" s="8" t="s">
        <v>64</v>
      </c>
      <c r="AB11" s="10">
        <v>8465552492.689559</v>
      </c>
      <c r="AC11" s="10" t="e">
        <f>_xlfn.XLOOKUP(tablaparaluminaria[[#This Row],[Cliente]],'[1]2023Constantes'!$F:$F,'[1]2023Constantes'!$H:$H)</f>
        <v>#N/A</v>
      </c>
      <c r="AD11" s="10">
        <v>6868216967.0878277</v>
      </c>
      <c r="AE11" s="10">
        <v>2304996840.8618765</v>
      </c>
      <c r="AF11" s="10">
        <v>4563220126.2259512</v>
      </c>
    </row>
    <row r="12" spans="1:32" x14ac:dyDescent="0.3">
      <c r="A12" s="8">
        <v>2017</v>
      </c>
      <c r="B12" s="5" t="s">
        <v>32</v>
      </c>
      <c r="C12" s="5" t="s">
        <v>86</v>
      </c>
      <c r="D12" s="8" t="s">
        <v>119</v>
      </c>
      <c r="E12" s="5" t="s">
        <v>63</v>
      </c>
      <c r="F12" s="6">
        <v>43082</v>
      </c>
      <c r="G12" s="6">
        <v>43087</v>
      </c>
      <c r="H12" s="5">
        <v>1000</v>
      </c>
      <c r="I12" s="5" t="s">
        <v>84</v>
      </c>
      <c r="J12" s="8" t="s">
        <v>68</v>
      </c>
      <c r="K12" s="5"/>
      <c r="L12" s="5" t="s">
        <v>68</v>
      </c>
      <c r="M12" s="5" t="s">
        <v>62</v>
      </c>
      <c r="N12" s="5"/>
      <c r="O12" s="9">
        <v>588205066.80660224</v>
      </c>
      <c r="P12" s="9">
        <v>588.20506680660219</v>
      </c>
      <c r="Q12" s="7">
        <v>10036350</v>
      </c>
      <c r="R12" s="5">
        <v>0</v>
      </c>
      <c r="S12" s="6"/>
      <c r="T12" s="5"/>
      <c r="U12" s="5" t="s">
        <v>68</v>
      </c>
      <c r="V12" s="5"/>
      <c r="W12" s="8" t="s">
        <v>64</v>
      </c>
      <c r="X12" s="8" t="s">
        <v>68</v>
      </c>
      <c r="Y12" s="8" t="s">
        <v>41</v>
      </c>
      <c r="Z12" s="5" t="s">
        <v>41</v>
      </c>
      <c r="AA12" s="8" t="s">
        <v>64</v>
      </c>
      <c r="AB12" s="10">
        <v>8465552492.689559</v>
      </c>
      <c r="AC12" s="10" t="e">
        <f>_xlfn.XLOOKUP(tablaparaluminaria[[#This Row],[Cliente]],'[1]2023Constantes'!$F:$F,'[1]2023Constantes'!$H:$H)</f>
        <v>#N/A</v>
      </c>
      <c r="AD12" s="10">
        <v>6868216967.0878277</v>
      </c>
      <c r="AE12" s="10">
        <v>2304996840.8618765</v>
      </c>
      <c r="AF12" s="10">
        <v>4563220126.2259512</v>
      </c>
    </row>
    <row r="13" spans="1:32" x14ac:dyDescent="0.3">
      <c r="A13" s="8">
        <v>2017</v>
      </c>
      <c r="B13" s="5" t="s">
        <v>32</v>
      </c>
      <c r="C13" s="5" t="s">
        <v>87</v>
      </c>
      <c r="D13" s="8" t="s">
        <v>119</v>
      </c>
      <c r="E13" s="5" t="s">
        <v>63</v>
      </c>
      <c r="F13" s="6">
        <v>43082</v>
      </c>
      <c r="G13" s="6">
        <v>43087</v>
      </c>
      <c r="H13" s="5">
        <v>1000</v>
      </c>
      <c r="I13" s="5" t="s">
        <v>84</v>
      </c>
      <c r="J13" s="8" t="s">
        <v>68</v>
      </c>
      <c r="K13" s="5"/>
      <c r="L13" s="5" t="s">
        <v>68</v>
      </c>
      <c r="M13" s="5" t="s">
        <v>62</v>
      </c>
      <c r="N13" s="5"/>
      <c r="O13" s="9">
        <v>588205066.80660224</v>
      </c>
      <c r="P13" s="9">
        <v>588.20506680660219</v>
      </c>
      <c r="Q13" s="7">
        <v>10036350</v>
      </c>
      <c r="R13" s="5">
        <v>0</v>
      </c>
      <c r="S13" s="6"/>
      <c r="T13" s="5"/>
      <c r="U13" s="5" t="s">
        <v>68</v>
      </c>
      <c r="V13" s="5"/>
      <c r="W13" s="8" t="s">
        <v>64</v>
      </c>
      <c r="X13" s="8" t="s">
        <v>68</v>
      </c>
      <c r="Y13" s="8" t="s">
        <v>41</v>
      </c>
      <c r="Z13" s="5" t="s">
        <v>41</v>
      </c>
      <c r="AA13" s="8" t="s">
        <v>64</v>
      </c>
      <c r="AB13" s="10">
        <v>8465552492.689559</v>
      </c>
      <c r="AC13" s="10" t="e">
        <f>_xlfn.XLOOKUP(tablaparaluminaria[[#This Row],[Cliente]],'[1]2023Constantes'!$F:$F,'[1]2023Constantes'!$H:$H)</f>
        <v>#N/A</v>
      </c>
      <c r="AD13" s="10">
        <v>6868216967.0878277</v>
      </c>
      <c r="AE13" s="10">
        <v>2304996840.8618765</v>
      </c>
      <c r="AF13" s="10">
        <v>4563220126.2259512</v>
      </c>
    </row>
    <row r="14" spans="1:32" x14ac:dyDescent="0.3">
      <c r="A14" s="8">
        <v>2017</v>
      </c>
      <c r="B14" s="5" t="s">
        <v>32</v>
      </c>
      <c r="C14" s="5" t="s">
        <v>88</v>
      </c>
      <c r="D14" s="8" t="s">
        <v>119</v>
      </c>
      <c r="E14" s="5" t="s">
        <v>63</v>
      </c>
      <c r="F14" s="6">
        <v>43082</v>
      </c>
      <c r="G14" s="6">
        <v>43087</v>
      </c>
      <c r="H14" s="5">
        <v>1000</v>
      </c>
      <c r="I14" s="5" t="s">
        <v>84</v>
      </c>
      <c r="J14" s="8" t="s">
        <v>68</v>
      </c>
      <c r="K14" s="5"/>
      <c r="L14" s="5" t="s">
        <v>68</v>
      </c>
      <c r="M14" s="5" t="s">
        <v>62</v>
      </c>
      <c r="N14" s="5"/>
      <c r="O14" s="9">
        <v>588205066.80660224</v>
      </c>
      <c r="P14" s="9">
        <v>588.20506680660219</v>
      </c>
      <c r="Q14" s="7">
        <v>10036350</v>
      </c>
      <c r="R14" s="5">
        <v>0</v>
      </c>
      <c r="S14" s="6"/>
      <c r="T14" s="5"/>
      <c r="U14" s="5" t="s">
        <v>68</v>
      </c>
      <c r="V14" s="5"/>
      <c r="W14" s="8" t="s">
        <v>64</v>
      </c>
      <c r="X14" s="8" t="s">
        <v>68</v>
      </c>
      <c r="Y14" s="8" t="s">
        <v>41</v>
      </c>
      <c r="Z14" s="5" t="s">
        <v>41</v>
      </c>
      <c r="AA14" s="8" t="s">
        <v>64</v>
      </c>
      <c r="AB14" s="10">
        <v>8465552492.689559</v>
      </c>
      <c r="AC14" s="10" t="e">
        <f>_xlfn.XLOOKUP(tablaparaluminaria[[#This Row],[Cliente]],'[1]2023Constantes'!$F:$F,'[1]2023Constantes'!$H:$H)</f>
        <v>#N/A</v>
      </c>
      <c r="AD14" s="10">
        <v>6868216967.0878277</v>
      </c>
      <c r="AE14" s="10">
        <v>2304996840.8618765</v>
      </c>
      <c r="AF14" s="10">
        <v>4563220126.2259512</v>
      </c>
    </row>
    <row r="15" spans="1:32" x14ac:dyDescent="0.3">
      <c r="A15" s="8">
        <v>2017</v>
      </c>
      <c r="B15" s="5" t="s">
        <v>32</v>
      </c>
      <c r="C15" s="5" t="s">
        <v>89</v>
      </c>
      <c r="D15" s="8" t="s">
        <v>119</v>
      </c>
      <c r="E15" s="5" t="s">
        <v>63</v>
      </c>
      <c r="F15" s="6">
        <v>43082</v>
      </c>
      <c r="G15" s="6">
        <v>43087</v>
      </c>
      <c r="H15" s="5">
        <v>1000</v>
      </c>
      <c r="I15" s="5" t="s">
        <v>84</v>
      </c>
      <c r="J15" s="8" t="s">
        <v>68</v>
      </c>
      <c r="K15" s="5"/>
      <c r="L15" s="5" t="s">
        <v>68</v>
      </c>
      <c r="M15" s="5" t="s">
        <v>62</v>
      </c>
      <c r="N15" s="5"/>
      <c r="O15" s="9">
        <v>588205066.80660224</v>
      </c>
      <c r="P15" s="9">
        <v>588.20506680660219</v>
      </c>
      <c r="Q15" s="7">
        <v>10036350</v>
      </c>
      <c r="R15" s="5">
        <v>0</v>
      </c>
      <c r="S15" s="6"/>
      <c r="T15" s="5"/>
      <c r="U15" s="5" t="s">
        <v>68</v>
      </c>
      <c r="V15" s="5"/>
      <c r="W15" s="8" t="s">
        <v>64</v>
      </c>
      <c r="X15" s="8" t="s">
        <v>68</v>
      </c>
      <c r="Y15" s="8" t="s">
        <v>41</v>
      </c>
      <c r="Z15" s="5" t="s">
        <v>41</v>
      </c>
      <c r="AA15" s="8" t="s">
        <v>64</v>
      </c>
      <c r="AB15" s="10">
        <v>8465552492.689559</v>
      </c>
      <c r="AC15" s="10" t="e">
        <f>_xlfn.XLOOKUP(tablaparaluminaria[[#This Row],[Cliente]],'[1]2023Constantes'!$F:$F,'[1]2023Constantes'!$H:$H)</f>
        <v>#N/A</v>
      </c>
      <c r="AD15" s="10">
        <v>6868216967.0878277</v>
      </c>
      <c r="AE15" s="10">
        <v>2304996840.8618765</v>
      </c>
      <c r="AF15" s="10">
        <v>4563220126.2259512</v>
      </c>
    </row>
    <row r="16" spans="1:32" x14ac:dyDescent="0.3">
      <c r="A16" s="8">
        <v>2017</v>
      </c>
      <c r="B16" s="5" t="s">
        <v>32</v>
      </c>
      <c r="C16" s="5" t="s">
        <v>90</v>
      </c>
      <c r="D16" s="8" t="s">
        <v>120</v>
      </c>
      <c r="E16" s="5" t="s">
        <v>63</v>
      </c>
      <c r="F16" s="6">
        <v>42766</v>
      </c>
      <c r="G16" s="6">
        <v>42835</v>
      </c>
      <c r="H16" s="5">
        <v>1983</v>
      </c>
      <c r="I16" s="5" t="s">
        <v>91</v>
      </c>
      <c r="J16" s="8" t="s">
        <v>68</v>
      </c>
      <c r="K16" s="5"/>
      <c r="L16" s="5" t="s">
        <v>68</v>
      </c>
      <c r="M16" s="5" t="s">
        <v>62</v>
      </c>
      <c r="N16" s="5"/>
      <c r="O16" s="9">
        <v>755815069.86438882</v>
      </c>
      <c r="P16" s="9">
        <v>755.81506986438887</v>
      </c>
      <c r="Q16" s="7">
        <v>11260485.33</v>
      </c>
      <c r="R16" s="5">
        <v>0</v>
      </c>
      <c r="S16" s="6"/>
      <c r="T16" s="5"/>
      <c r="U16" s="5" t="s">
        <v>68</v>
      </c>
      <c r="V16" s="5"/>
      <c r="W16" s="8" t="s">
        <v>64</v>
      </c>
      <c r="X16" s="8" t="s">
        <v>68</v>
      </c>
      <c r="Y16" s="8" t="s">
        <v>65</v>
      </c>
      <c r="Z16" s="5" t="s">
        <v>65</v>
      </c>
      <c r="AA16" s="8" t="s">
        <v>64</v>
      </c>
      <c r="AB16" s="10">
        <v>4735658539.3692532</v>
      </c>
      <c r="AC16" s="10" t="e">
        <f>_xlfn.XLOOKUP(tablaparaluminaria[[#This Row],[Cliente]],'[1]2023Constantes'!$F:$F,'[1]2023Constantes'!$H:$H)</f>
        <v>#N/A</v>
      </c>
      <c r="AD16" s="10">
        <v>3932901422.5605001</v>
      </c>
      <c r="AE16" s="10">
        <v>1283339659.5805466</v>
      </c>
      <c r="AF16" s="10">
        <v>2649561762.9799538</v>
      </c>
    </row>
    <row r="17" spans="1:32" x14ac:dyDescent="0.3">
      <c r="A17" s="8">
        <v>2017</v>
      </c>
      <c r="B17" s="5" t="s">
        <v>32</v>
      </c>
      <c r="C17" s="5" t="s">
        <v>92</v>
      </c>
      <c r="D17" s="8" t="s">
        <v>120</v>
      </c>
      <c r="E17" s="5" t="s">
        <v>63</v>
      </c>
      <c r="F17" s="6">
        <v>42766</v>
      </c>
      <c r="G17" s="6">
        <v>42835</v>
      </c>
      <c r="H17" s="5">
        <v>1423</v>
      </c>
      <c r="I17" s="5" t="s">
        <v>93</v>
      </c>
      <c r="J17" s="8" t="s">
        <v>68</v>
      </c>
      <c r="K17" s="5"/>
      <c r="L17" s="5" t="s">
        <v>68</v>
      </c>
      <c r="M17" s="5" t="s">
        <v>62</v>
      </c>
      <c r="N17" s="5"/>
      <c r="O17" s="9">
        <v>865144123.5883882</v>
      </c>
      <c r="P17" s="9">
        <v>865.1441235883882</v>
      </c>
      <c r="Q17" s="7">
        <v>12889320.550000001</v>
      </c>
      <c r="R17" s="5">
        <v>0</v>
      </c>
      <c r="S17" s="6"/>
      <c r="T17" s="5"/>
      <c r="U17" s="5" t="s">
        <v>68</v>
      </c>
      <c r="V17" s="5"/>
      <c r="W17" s="8" t="s">
        <v>64</v>
      </c>
      <c r="X17" s="8" t="s">
        <v>68</v>
      </c>
      <c r="Y17" s="8" t="s">
        <v>65</v>
      </c>
      <c r="Z17" s="5" t="s">
        <v>65</v>
      </c>
      <c r="AA17" s="8" t="s">
        <v>64</v>
      </c>
      <c r="AB17" s="10">
        <v>4735658539.3692532</v>
      </c>
      <c r="AC17" s="10" t="e">
        <f>_xlfn.XLOOKUP(tablaparaluminaria[[#This Row],[Cliente]],'[1]2023Constantes'!$F:$F,'[1]2023Constantes'!$H:$H)</f>
        <v>#N/A</v>
      </c>
      <c r="AD17" s="10">
        <v>3932901422.5605001</v>
      </c>
      <c r="AE17" s="10">
        <v>1283339659.5805466</v>
      </c>
      <c r="AF17" s="10">
        <v>2649561762.9799538</v>
      </c>
    </row>
    <row r="18" spans="1:32" x14ac:dyDescent="0.3">
      <c r="A18" s="8">
        <v>2017</v>
      </c>
      <c r="B18" s="5" t="s">
        <v>32</v>
      </c>
      <c r="C18" s="5" t="s">
        <v>94</v>
      </c>
      <c r="D18" s="8" t="s">
        <v>120</v>
      </c>
      <c r="E18" s="5" t="s">
        <v>63</v>
      </c>
      <c r="F18" s="6">
        <v>42822</v>
      </c>
      <c r="G18" s="6">
        <v>42835</v>
      </c>
      <c r="H18" s="5">
        <v>387</v>
      </c>
      <c r="I18" s="5" t="s">
        <v>91</v>
      </c>
      <c r="J18" s="8" t="s">
        <v>68</v>
      </c>
      <c r="K18" s="5"/>
      <c r="L18" s="5" t="s">
        <v>68</v>
      </c>
      <c r="M18" s="5" t="s">
        <v>62</v>
      </c>
      <c r="N18" s="5"/>
      <c r="O18" s="9">
        <v>147504000.01892006</v>
      </c>
      <c r="P18" s="9">
        <v>147.50400001892007</v>
      </c>
      <c r="Q18" s="7">
        <v>2197583.37</v>
      </c>
      <c r="R18" s="5">
        <v>0</v>
      </c>
      <c r="S18" s="6"/>
      <c r="T18" s="5"/>
      <c r="U18" s="5" t="s">
        <v>68</v>
      </c>
      <c r="V18" s="5"/>
      <c r="W18" s="8" t="s">
        <v>64</v>
      </c>
      <c r="X18" s="8" t="s">
        <v>68</v>
      </c>
      <c r="Y18" s="8" t="s">
        <v>65</v>
      </c>
      <c r="Z18" s="5" t="s">
        <v>65</v>
      </c>
      <c r="AA18" s="8" t="s">
        <v>64</v>
      </c>
      <c r="AB18" s="10">
        <v>4735658539.3692532</v>
      </c>
      <c r="AC18" s="10" t="e">
        <f>_xlfn.XLOOKUP(tablaparaluminaria[[#This Row],[Cliente]],'[1]2023Constantes'!$F:$F,'[1]2023Constantes'!$H:$H)</f>
        <v>#N/A</v>
      </c>
      <c r="AD18" s="10">
        <v>3932901422.5605001</v>
      </c>
      <c r="AE18" s="10">
        <v>1283339659.5805466</v>
      </c>
      <c r="AF18" s="10">
        <v>2649561762.9799538</v>
      </c>
    </row>
    <row r="19" spans="1:32" x14ac:dyDescent="0.3">
      <c r="A19" s="8">
        <v>2017</v>
      </c>
      <c r="B19" s="5" t="s">
        <v>32</v>
      </c>
      <c r="C19" s="5" t="s">
        <v>95</v>
      </c>
      <c r="D19" s="8" t="s">
        <v>120</v>
      </c>
      <c r="E19" s="5" t="s">
        <v>63</v>
      </c>
      <c r="F19" s="6">
        <v>42822</v>
      </c>
      <c r="G19" s="6">
        <v>42835</v>
      </c>
      <c r="H19" s="5">
        <v>277</v>
      </c>
      <c r="I19" s="5" t="s">
        <v>96</v>
      </c>
      <c r="J19" s="8" t="s">
        <v>68</v>
      </c>
      <c r="K19" s="5"/>
      <c r="L19" s="5" t="s">
        <v>68</v>
      </c>
      <c r="M19" s="5" t="s">
        <v>62</v>
      </c>
      <c r="N19" s="5"/>
      <c r="O19" s="9">
        <v>168408237.69078252</v>
      </c>
      <c r="P19" s="9">
        <v>168.40823769078253</v>
      </c>
      <c r="Q19" s="7">
        <v>2509024.4500000002</v>
      </c>
      <c r="R19" s="5">
        <v>0</v>
      </c>
      <c r="S19" s="6"/>
      <c r="T19" s="5"/>
      <c r="U19" s="5" t="s">
        <v>68</v>
      </c>
      <c r="V19" s="5"/>
      <c r="W19" s="8" t="s">
        <v>64</v>
      </c>
      <c r="X19" s="8" t="s">
        <v>68</v>
      </c>
      <c r="Y19" s="8" t="s">
        <v>65</v>
      </c>
      <c r="Z19" s="5" t="s">
        <v>65</v>
      </c>
      <c r="AA19" s="8" t="s">
        <v>64</v>
      </c>
      <c r="AB19" s="10">
        <v>4735658539.3692532</v>
      </c>
      <c r="AC19" s="10" t="e">
        <f>_xlfn.XLOOKUP(tablaparaluminaria[[#This Row],[Cliente]],'[1]2023Constantes'!$F:$F,'[1]2023Constantes'!$H:$H)</f>
        <v>#N/A</v>
      </c>
      <c r="AD19" s="10">
        <v>3932901422.5605001</v>
      </c>
      <c r="AE19" s="10">
        <v>1283339659.5805466</v>
      </c>
      <c r="AF19" s="10">
        <v>2649561762.9799538</v>
      </c>
    </row>
    <row r="20" spans="1:32" x14ac:dyDescent="0.3">
      <c r="A20" s="8">
        <v>2017</v>
      </c>
      <c r="B20" t="s">
        <v>32</v>
      </c>
      <c r="C20" t="s">
        <v>97</v>
      </c>
      <c r="D20" s="8" t="s">
        <v>120</v>
      </c>
      <c r="E20" t="s">
        <v>63</v>
      </c>
      <c r="F20" s="3">
        <v>42808</v>
      </c>
      <c r="G20" s="3">
        <v>42835</v>
      </c>
      <c r="H20">
        <v>202</v>
      </c>
      <c r="I20" t="s">
        <v>98</v>
      </c>
      <c r="J20" s="8" t="s">
        <v>81</v>
      </c>
      <c r="L20" t="s">
        <v>81</v>
      </c>
      <c r="M20" t="s">
        <v>82</v>
      </c>
      <c r="O20" s="9">
        <v>182824209.51011038</v>
      </c>
      <c r="P20" s="9">
        <v>182.82420951011036</v>
      </c>
      <c r="Q20" s="2">
        <v>2723800.32</v>
      </c>
      <c r="R20">
        <v>0</v>
      </c>
      <c r="S20" s="3"/>
      <c r="U20" t="s">
        <v>80</v>
      </c>
      <c r="W20" s="8" t="s">
        <v>64</v>
      </c>
      <c r="X20" s="8" t="s">
        <v>81</v>
      </c>
      <c r="Y20" s="8" t="s">
        <v>65</v>
      </c>
      <c r="Z20" s="5" t="s">
        <v>65</v>
      </c>
      <c r="AA20" s="8" t="s">
        <v>64</v>
      </c>
      <c r="AB20" s="10">
        <v>4735658539.3692532</v>
      </c>
      <c r="AC20" s="10" t="e">
        <f>_xlfn.XLOOKUP(tablaparaluminaria[[#This Row],[Cliente]],'[1]2023Constantes'!$F:$F,'[1]2023Constantes'!$H:$H)</f>
        <v>#N/A</v>
      </c>
      <c r="AD20" s="10">
        <v>3932901422.5605001</v>
      </c>
      <c r="AE20" s="10">
        <v>1283339659.5805466</v>
      </c>
      <c r="AF20" s="10">
        <v>2649561762.9799538</v>
      </c>
    </row>
    <row r="21" spans="1:32" x14ac:dyDescent="0.3">
      <c r="A21" s="8">
        <v>2017</v>
      </c>
      <c r="B21" t="s">
        <v>32</v>
      </c>
      <c r="C21" t="s">
        <v>99</v>
      </c>
      <c r="D21" s="8" t="s">
        <v>120</v>
      </c>
      <c r="E21" t="s">
        <v>63</v>
      </c>
      <c r="F21" s="3">
        <v>42808</v>
      </c>
      <c r="G21" s="3">
        <v>42835</v>
      </c>
      <c r="H21">
        <v>160</v>
      </c>
      <c r="I21" t="s">
        <v>100</v>
      </c>
      <c r="J21" s="8" t="s">
        <v>101</v>
      </c>
      <c r="L21" t="s">
        <v>101</v>
      </c>
      <c r="M21" t="s">
        <v>82</v>
      </c>
      <c r="O21" s="9">
        <v>28401527.52193689</v>
      </c>
      <c r="P21" s="9">
        <v>28.401527521936888</v>
      </c>
      <c r="Q21" s="2">
        <v>423139.2</v>
      </c>
      <c r="R21">
        <v>0</v>
      </c>
      <c r="S21" s="3"/>
      <c r="U21" t="s">
        <v>80</v>
      </c>
      <c r="W21" s="8" t="s">
        <v>64</v>
      </c>
      <c r="X21" s="8" t="s">
        <v>101</v>
      </c>
      <c r="Y21" s="8" t="s">
        <v>65</v>
      </c>
      <c r="Z21" s="5" t="s">
        <v>65</v>
      </c>
      <c r="AA21" s="8" t="s">
        <v>64</v>
      </c>
      <c r="AB21" s="10">
        <v>4735658539.3692532</v>
      </c>
      <c r="AC21" s="10" t="e">
        <f>_xlfn.XLOOKUP(tablaparaluminaria[[#This Row],[Cliente]],'[1]2023Constantes'!$F:$F,'[1]2023Constantes'!$H:$H)</f>
        <v>#N/A</v>
      </c>
      <c r="AD21" s="10">
        <v>3932901422.5605001</v>
      </c>
      <c r="AE21" s="10">
        <v>1283339659.5805466</v>
      </c>
      <c r="AF21" s="10">
        <v>2649561762.9799538</v>
      </c>
    </row>
    <row r="22" spans="1:32" x14ac:dyDescent="0.3">
      <c r="A22" s="8">
        <v>2017</v>
      </c>
      <c r="B22" t="s">
        <v>32</v>
      </c>
      <c r="C22" t="s">
        <v>102</v>
      </c>
      <c r="D22" s="8" t="s">
        <v>120</v>
      </c>
      <c r="E22" t="s">
        <v>63</v>
      </c>
      <c r="F22" s="3">
        <v>42914</v>
      </c>
      <c r="G22" s="3">
        <v>42972</v>
      </c>
      <c r="H22">
        <v>3</v>
      </c>
      <c r="I22" t="s">
        <v>103</v>
      </c>
      <c r="J22" s="8" t="s">
        <v>77</v>
      </c>
      <c r="L22" t="s">
        <v>77</v>
      </c>
      <c r="M22" t="s">
        <v>47</v>
      </c>
      <c r="O22" s="9">
        <v>178068598.41798303</v>
      </c>
      <c r="P22" s="9">
        <v>178.06859841798303</v>
      </c>
      <c r="Q22" s="2">
        <v>2809136.16</v>
      </c>
      <c r="R22">
        <v>0</v>
      </c>
      <c r="S22" s="3"/>
      <c r="U22" t="s">
        <v>55</v>
      </c>
      <c r="W22" s="8" t="s">
        <v>64</v>
      </c>
      <c r="X22" s="8" t="s">
        <v>77</v>
      </c>
      <c r="Y22" s="8" t="s">
        <v>65</v>
      </c>
      <c r="Z22" s="5" t="s">
        <v>65</v>
      </c>
      <c r="AA22" s="8" t="s">
        <v>64</v>
      </c>
      <c r="AB22" s="10">
        <v>4735658539.3692532</v>
      </c>
      <c r="AC22" s="10" t="e">
        <f>_xlfn.XLOOKUP(tablaparaluminaria[[#This Row],[Cliente]],'[1]2023Constantes'!$F:$F,'[1]2023Constantes'!$H:$H)</f>
        <v>#N/A</v>
      </c>
      <c r="AD22" s="10">
        <v>3932901422.5605001</v>
      </c>
      <c r="AE22" s="10">
        <v>1283339659.5805466</v>
      </c>
      <c r="AF22" s="10">
        <v>2649561762.9799538</v>
      </c>
    </row>
    <row r="23" spans="1:32" x14ac:dyDescent="0.3">
      <c r="A23" s="8">
        <v>2017</v>
      </c>
      <c r="B23" t="s">
        <v>32</v>
      </c>
      <c r="C23" t="s">
        <v>104</v>
      </c>
      <c r="D23" s="8" t="s">
        <v>120</v>
      </c>
      <c r="E23" t="s">
        <v>63</v>
      </c>
      <c r="F23" s="3">
        <v>42914</v>
      </c>
      <c r="G23" s="3">
        <v>42972</v>
      </c>
      <c r="H23">
        <v>1</v>
      </c>
      <c r="I23" t="s">
        <v>105</v>
      </c>
      <c r="J23" s="8" t="s">
        <v>77</v>
      </c>
      <c r="L23" t="s">
        <v>77</v>
      </c>
      <c r="M23" t="s">
        <v>47</v>
      </c>
      <c r="O23" s="9">
        <v>61602191.738187298</v>
      </c>
      <c r="P23" s="9">
        <v>61.602191738187301</v>
      </c>
      <c r="Q23" s="2">
        <v>971810.56</v>
      </c>
      <c r="R23">
        <v>0</v>
      </c>
      <c r="S23" s="3"/>
      <c r="U23" t="s">
        <v>55</v>
      </c>
      <c r="W23" s="8" t="s">
        <v>64</v>
      </c>
      <c r="X23" s="8" t="s">
        <v>77</v>
      </c>
      <c r="Y23" s="8" t="s">
        <v>65</v>
      </c>
      <c r="Z23" s="5" t="s">
        <v>65</v>
      </c>
      <c r="AA23" s="8" t="s">
        <v>64</v>
      </c>
      <c r="AB23" s="10">
        <v>4735658539.3692532</v>
      </c>
      <c r="AC23" s="10" t="e">
        <f>_xlfn.XLOOKUP(tablaparaluminaria[[#This Row],[Cliente]],'[1]2023Constantes'!$F:$F,'[1]2023Constantes'!$H:$H)</f>
        <v>#N/A</v>
      </c>
      <c r="AD23" s="10">
        <v>3932901422.5605001</v>
      </c>
      <c r="AE23" s="10">
        <v>1283339659.5805466</v>
      </c>
      <c r="AF23" s="10">
        <v>2649561762.9799538</v>
      </c>
    </row>
    <row r="24" spans="1:32" x14ac:dyDescent="0.3">
      <c r="A24" s="8">
        <v>2017</v>
      </c>
      <c r="B24" t="s">
        <v>32</v>
      </c>
      <c r="C24" t="s">
        <v>106</v>
      </c>
      <c r="D24" s="8" t="s">
        <v>120</v>
      </c>
      <c r="E24" t="s">
        <v>63</v>
      </c>
      <c r="F24" s="3">
        <v>42914</v>
      </c>
      <c r="G24" s="3">
        <v>42972</v>
      </c>
      <c r="H24">
        <v>1</v>
      </c>
      <c r="I24" t="s">
        <v>107</v>
      </c>
      <c r="J24" s="8" t="s">
        <v>77</v>
      </c>
      <c r="L24" t="s">
        <v>77</v>
      </c>
      <c r="M24" t="s">
        <v>47</v>
      </c>
      <c r="O24" s="9">
        <v>117432444.44097577</v>
      </c>
      <c r="P24" s="9">
        <v>117.43244444097577</v>
      </c>
      <c r="Q24" s="2">
        <v>1852565.41</v>
      </c>
      <c r="R24">
        <v>0</v>
      </c>
      <c r="S24" s="3"/>
      <c r="U24" t="s">
        <v>55</v>
      </c>
      <c r="W24" s="8" t="s">
        <v>64</v>
      </c>
      <c r="X24" s="8" t="s">
        <v>77</v>
      </c>
      <c r="Y24" s="8" t="s">
        <v>65</v>
      </c>
      <c r="Z24" s="5" t="s">
        <v>65</v>
      </c>
      <c r="AA24" s="8" t="s">
        <v>64</v>
      </c>
      <c r="AB24" s="10">
        <v>4735658539.3692532</v>
      </c>
      <c r="AC24" s="10" t="e">
        <f>_xlfn.XLOOKUP(tablaparaluminaria[[#This Row],[Cliente]],'[1]2023Constantes'!$F:$F,'[1]2023Constantes'!$H:$H)</f>
        <v>#N/A</v>
      </c>
      <c r="AD24" s="10">
        <v>3932901422.5605001</v>
      </c>
      <c r="AE24" s="10">
        <v>1283339659.5805466</v>
      </c>
      <c r="AF24" s="10">
        <v>2649561762.9799538</v>
      </c>
    </row>
    <row r="25" spans="1:32" x14ac:dyDescent="0.3">
      <c r="A25" s="8">
        <v>2017</v>
      </c>
      <c r="B25" t="s">
        <v>32</v>
      </c>
      <c r="C25" t="s">
        <v>108</v>
      </c>
      <c r="D25" s="8" t="s">
        <v>120</v>
      </c>
      <c r="E25" t="s">
        <v>63</v>
      </c>
      <c r="F25" s="3">
        <v>42914</v>
      </c>
      <c r="G25" s="3">
        <v>42972</v>
      </c>
      <c r="H25">
        <v>2</v>
      </c>
      <c r="I25" t="s">
        <v>109</v>
      </c>
      <c r="J25" s="8" t="s">
        <v>77</v>
      </c>
      <c r="L25" t="s">
        <v>77</v>
      </c>
      <c r="M25" t="s">
        <v>47</v>
      </c>
      <c r="O25" s="9">
        <v>189029318.36869791</v>
      </c>
      <c r="P25" s="9">
        <v>189.02931836869791</v>
      </c>
      <c r="Q25" s="2">
        <v>2982047.92</v>
      </c>
      <c r="R25">
        <v>0</v>
      </c>
      <c r="S25" s="3"/>
      <c r="U25" t="s">
        <v>66</v>
      </c>
      <c r="W25" s="8" t="s">
        <v>64</v>
      </c>
      <c r="X25" s="8" t="s">
        <v>77</v>
      </c>
      <c r="Y25" s="8" t="s">
        <v>65</v>
      </c>
      <c r="Z25" s="5" t="s">
        <v>65</v>
      </c>
      <c r="AA25" s="8" t="s">
        <v>64</v>
      </c>
      <c r="AB25" s="10">
        <v>4735658539.3692532</v>
      </c>
      <c r="AC25" s="10" t="e">
        <f>_xlfn.XLOOKUP(tablaparaluminaria[[#This Row],[Cliente]],'[1]2023Constantes'!$F:$F,'[1]2023Constantes'!$H:$H)</f>
        <v>#N/A</v>
      </c>
      <c r="AD25" s="10">
        <v>3932901422.5605001</v>
      </c>
      <c r="AE25" s="10">
        <v>1283339659.5805466</v>
      </c>
      <c r="AF25" s="10">
        <v>2649561762.9799538</v>
      </c>
    </row>
    <row r="26" spans="1:32" x14ac:dyDescent="0.3">
      <c r="A26" s="8">
        <v>2017</v>
      </c>
      <c r="B26" t="s">
        <v>32</v>
      </c>
      <c r="C26" t="s">
        <v>110</v>
      </c>
      <c r="D26" s="8" t="s">
        <v>120</v>
      </c>
      <c r="E26" t="s">
        <v>63</v>
      </c>
      <c r="F26" s="3">
        <v>42914</v>
      </c>
      <c r="G26" s="3">
        <v>42972</v>
      </c>
      <c r="H26">
        <v>2</v>
      </c>
      <c r="I26" t="s">
        <v>111</v>
      </c>
      <c r="J26" s="8" t="s">
        <v>79</v>
      </c>
      <c r="L26" t="s">
        <v>79</v>
      </c>
      <c r="M26" t="s">
        <v>47</v>
      </c>
      <c r="O26" s="9">
        <v>156791190.45217672</v>
      </c>
      <c r="P26" s="9">
        <v>156.79119045217672</v>
      </c>
      <c r="Q26" s="2">
        <v>2473472.62</v>
      </c>
      <c r="R26">
        <v>0</v>
      </c>
      <c r="S26" s="3"/>
      <c r="U26" t="s">
        <v>55</v>
      </c>
      <c r="W26" s="8" t="s">
        <v>64</v>
      </c>
      <c r="X26" s="8" t="s">
        <v>79</v>
      </c>
      <c r="Y26" s="8" t="s">
        <v>65</v>
      </c>
      <c r="Z26" s="5" t="s">
        <v>65</v>
      </c>
      <c r="AA26" s="8" t="s">
        <v>64</v>
      </c>
      <c r="AB26" s="10">
        <v>4735658539.3692532</v>
      </c>
      <c r="AC26" s="10" t="e">
        <f>_xlfn.XLOOKUP(tablaparaluminaria[[#This Row],[Cliente]],'[1]2023Constantes'!$F:$F,'[1]2023Constantes'!$H:$H)</f>
        <v>#N/A</v>
      </c>
      <c r="AD26" s="10">
        <v>3932901422.5605001</v>
      </c>
      <c r="AE26" s="10">
        <v>1283339659.5805466</v>
      </c>
      <c r="AF26" s="10">
        <v>2649561762.9799538</v>
      </c>
    </row>
    <row r="27" spans="1:32" x14ac:dyDescent="0.3">
      <c r="A27" s="8">
        <v>2017</v>
      </c>
      <c r="B27" t="s">
        <v>32</v>
      </c>
      <c r="C27" t="s">
        <v>112</v>
      </c>
      <c r="D27" s="8" t="s">
        <v>120</v>
      </c>
      <c r="E27" t="s">
        <v>63</v>
      </c>
      <c r="F27" s="3">
        <v>42914</v>
      </c>
      <c r="G27" s="3">
        <v>42972</v>
      </c>
      <c r="H27">
        <v>4</v>
      </c>
      <c r="I27" t="s">
        <v>113</v>
      </c>
      <c r="J27" s="8" t="s">
        <v>78</v>
      </c>
      <c r="L27" t="s">
        <v>78</v>
      </c>
      <c r="M27" t="s">
        <v>47</v>
      </c>
      <c r="O27" s="9">
        <v>175828098.18363222</v>
      </c>
      <c r="P27" s="9">
        <v>175.82809818363222</v>
      </c>
      <c r="Q27" s="2">
        <v>2773790.96</v>
      </c>
      <c r="R27">
        <v>0</v>
      </c>
      <c r="S27" s="3"/>
      <c r="U27" t="s">
        <v>55</v>
      </c>
      <c r="W27" s="8" t="s">
        <v>64</v>
      </c>
      <c r="X27" s="8" t="s">
        <v>78</v>
      </c>
      <c r="Y27" s="8" t="s">
        <v>65</v>
      </c>
      <c r="Z27" s="5" t="s">
        <v>65</v>
      </c>
      <c r="AA27" s="8" t="s">
        <v>64</v>
      </c>
      <c r="AB27" s="10">
        <v>4735658539.3692532</v>
      </c>
      <c r="AC27" s="10" t="e">
        <f>_xlfn.XLOOKUP(tablaparaluminaria[[#This Row],[Cliente]],'[1]2023Constantes'!$F:$F,'[1]2023Constantes'!$H:$H)</f>
        <v>#N/A</v>
      </c>
      <c r="AD27" s="10">
        <v>3932901422.5605001</v>
      </c>
      <c r="AE27" s="10">
        <v>1283339659.5805466</v>
      </c>
      <c r="AF27" s="10">
        <v>2649561762.9799538</v>
      </c>
    </row>
    <row r="28" spans="1:32" x14ac:dyDescent="0.3">
      <c r="A28" s="8">
        <v>2017</v>
      </c>
      <c r="B28" t="s">
        <v>32</v>
      </c>
      <c r="C28" t="s">
        <v>114</v>
      </c>
      <c r="D28" s="8" t="s">
        <v>120</v>
      </c>
      <c r="E28" t="s">
        <v>63</v>
      </c>
      <c r="F28" s="3">
        <v>42914</v>
      </c>
      <c r="G28" s="3">
        <v>42972</v>
      </c>
      <c r="H28">
        <v>2</v>
      </c>
      <c r="I28" t="s">
        <v>115</v>
      </c>
      <c r="J28" s="8" t="s">
        <v>78</v>
      </c>
      <c r="L28" t="s">
        <v>78</v>
      </c>
      <c r="M28" t="s">
        <v>47</v>
      </c>
      <c r="O28" s="9">
        <v>83270544.339625344</v>
      </c>
      <c r="P28" s="9">
        <v>83.270544339625346</v>
      </c>
      <c r="Q28" s="2">
        <v>1313641.48</v>
      </c>
      <c r="R28">
        <v>0</v>
      </c>
      <c r="S28" s="3"/>
      <c r="U28" t="s">
        <v>55</v>
      </c>
      <c r="W28" s="8" t="s">
        <v>64</v>
      </c>
      <c r="X28" s="8" t="s">
        <v>78</v>
      </c>
      <c r="Y28" s="8" t="s">
        <v>65</v>
      </c>
      <c r="Z28" s="5" t="s">
        <v>65</v>
      </c>
      <c r="AA28" s="8" t="s">
        <v>64</v>
      </c>
      <c r="AB28" s="10">
        <v>4735658539.3692532</v>
      </c>
      <c r="AC28" s="10" t="e">
        <f>_xlfn.XLOOKUP(tablaparaluminaria[[#This Row],[Cliente]],'[1]2023Constantes'!$F:$F,'[1]2023Constantes'!$H:$H)</f>
        <v>#N/A</v>
      </c>
      <c r="AD28" s="10">
        <v>3932901422.5605001</v>
      </c>
      <c r="AE28" s="10">
        <v>1283339659.5805466</v>
      </c>
      <c r="AF28" s="10">
        <v>2649561762.9799538</v>
      </c>
    </row>
  </sheetData>
  <conditionalFormatting sqref="C2:C28">
    <cfRule type="duplicateValues" dxfId="4" priority="7"/>
    <cfRule type="duplicateValues" dxfId="3" priority="8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revisadoTablaseparaluminaria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Arias</dc:creator>
  <cp:lastModifiedBy>Eva Arias</cp:lastModifiedBy>
  <dcterms:created xsi:type="dcterms:W3CDTF">2025-05-30T19:00:40Z</dcterms:created>
  <dcterms:modified xsi:type="dcterms:W3CDTF">2025-05-31T22:35:12Z</dcterms:modified>
</cp:coreProperties>
</file>